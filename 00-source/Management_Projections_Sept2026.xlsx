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8" activeTab="13" tabRatio="885.8921161825723"/>
  </bookViews>
  <sheets>
    <sheet r:id="rId1" name="Executive-Summary" sheetId="1"/>
    <sheet r:id="rId2" name="Investor-Returns" sheetId="2"/>
    <sheet r:id="rId3" name="Moderate-Growth" sheetId="3"/>
    <sheet r:id="rId4" name="Sports-Complex" sheetId="4"/>
    <sheet r:id="rId5" name="Bullish-Growth" sheetId="5"/>
    <sheet r:id="rId6" name="Fund-Infusion" sheetId="6"/>
    <sheet r:id="rId7" name="Financial-Summary" sheetId="7"/>
    <sheet r:id="rId8" name="Staff-Plan" sheetId="8"/>
    <sheet r:id="rId9" name="Student-Growth" sheetId="9"/>
    <sheet r:id="rId10" name="Notes" sheetId="10"/>
    <sheet r:id="rId11" name="Raw-Data" sheetId="11"/>
    <sheet r:id="rId12" name="Share-Valuation" sheetId="12"/>
    <sheet r:id="rId13" name="Investor-Pitch" sheetId="13"/>
    <sheet r:id="rId14" name="Investor-Pitch-2" sheetId="14"/>
  </sheets>
  <calcPr calcId="0" iterateCount="100" iterateDelta="0.001"/>
</workbook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>
      <text>
        <r>
          <rPr>
            <sz val="9"/>
            <color rgb="FF000000"/>
            <rFont val="Arial"/>
            <family val="2"/>
          </rPr>
          <t>rent -75000 plus loans taken intrest
======</t>
        </r>
      </text>
    </comment>
    <comment ref="F4" authorId="0">
      <text>
        <r>
          <rPr>
            <sz val="9"/>
            <color rgb="FF000000"/>
            <rFont val="Arial"/>
            <family val="2"/>
          </rPr>
          <t>rent component has not gone down despite squaring off loans as we are  taking adjacent land
======</t>
        </r>
      </text>
    </comment>
    <comment ref="I27" authorId="0">
      <text>
        <r>
          <rPr>
            <sz val="9"/>
            <color rgb="FF000000"/>
            <rFont val="Arial"/>
            <family val="2"/>
          </rPr>
          <t>the growth slowed down since we moved to a small row house near the  construction area
======</t>
        </r>
      </text>
    </comment>
    <comment ref="H28" authorId="0">
      <text>
        <r>
          <rPr>
            <sz val="9"/>
            <color rgb="FF000000"/>
            <rFont val="Arial"/>
            <family val="2"/>
          </rPr>
          <t>10-12 kids shifted from nagre nagar to new campus in GN
======</t>
        </r>
      </text>
    </comment>
    <comment ref="H4" authorId="0">
      <text>
        <r>
          <rPr>
            <sz val="9"/>
            <color rgb="FF000000"/>
            <rFont val="Arial"/>
            <family val="2"/>
          </rPr>
          <t>TURF FOR SPORTS AFTER SCHOOL also new school products
======</t>
        </r>
      </text>
    </comment>
    <comment ref="H5" authorId="0">
      <text>
        <r>
          <rPr>
            <sz val="9"/>
            <color rgb="FF000000"/>
            <rFont val="Arial"/>
            <family val="2"/>
          </rPr>
          <t>further enhancement of sports complex and new school products digital boards learning toys etc
======</t>
        </r>
      </text>
    </comment>
    <comment ref="H6" authorId="0">
      <text>
        <r>
          <rPr>
            <sz val="9"/>
            <color rgb="FF000000"/>
            <rFont val="Arial"/>
            <family val="2"/>
          </rPr>
          <t>buy our own school van
======</t>
        </r>
      </text>
    </comment>
    <comment ref="H7" authorId="0">
      <text>
        <r>
          <rPr>
            <sz val="9"/>
            <color rgb="FF000000"/>
            <rFont val="Arial"/>
            <family val="2"/>
          </rPr>
          <t>PROVISION FOR SCHOOL 2ND FLOOR CONSTRUCTION
======</t>
        </r>
      </text>
    </comment>
    <comment ref="H8" authorId="0">
      <text>
        <r>
          <rPr>
            <sz val="9"/>
            <color rgb="FF000000"/>
            <rFont val="Arial"/>
            <family val="2"/>
          </rPr>
          <t>PROVISION FOR SCHOOL CONSTRUCTION
======</t>
        </r>
      </text>
    </comment>
    <comment ref="G3" authorId="0">
      <text>
        <r>
          <rPr>
            <sz val="9"/>
            <color rgb="FF000000"/>
            <rFont val="Arial"/>
            <family val="2"/>
          </rPr>
          <t>IS ONE TIME EXPENSE WE WILL NEED FOR EDUCATION BOARD REGISTERATION
======</t>
        </r>
      </text>
    </comment>
    <comment ref="G4" authorId="0">
      <text>
        <r>
          <rPr>
            <sz val="9"/>
            <color rgb="FF000000"/>
            <rFont val="Arial"/>
            <family val="2"/>
          </rPr>
          <t>EXPENSE TOWARDS TAKEN ADJACENT LAND ON RENT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>
      <text>
        <r>
          <rPr>
            <sz val="9"/>
            <color rgb="FF000000"/>
            <rFont val="Arial"/>
            <family val="2"/>
          </rPr>
          <t>face value per share.rtf _1.doc | Page 1 | NET ASSETS|1905022.1</t>
        </r>
      </text>
    </comment>
    <comment ref="C10" authorId="0">
      <text>
        <r>
          <rPr>
            <sz val="9"/>
            <color rgb="FF000000"/>
            <rFont val="Arial"/>
            <family val="2"/>
          </rPr>
          <t>face value per share.rtf _1.doc | Page 1 | No of shares out standing|60000</t>
        </r>
      </text>
    </comment>
    <comment ref="C11" authorId="0">
      <text>
        <r>
          <rPr>
            <sz val="9"/>
            <color rgb="FF000000"/>
            <rFont val="Arial"/>
            <family val="2"/>
          </rPr>
          <t>face value per share.rtf _1.doc | Page 1 | Property,Plant and Equipment|14976444</t>
        </r>
      </text>
    </comment>
    <comment ref="C12" authorId="0">
      <text>
        <r>
          <rPr>
            <sz val="9"/>
            <color rgb="FF000000"/>
            <rFont val="Arial"/>
            <family val="2"/>
          </rPr>
          <t>face value per share.rtf _1.doc | Page 1 | Intangible assets|0.00</t>
        </r>
      </text>
    </comment>
    <comment ref="C13" authorId="0">
      <text>
        <r>
          <rPr>
            <sz val="9"/>
            <color rgb="FF000000"/>
            <rFont val="Arial"/>
            <family val="2"/>
          </rPr>
          <t>face value per share.rtf _1.doc | Page 1 | Capital work-in-Progress|0.00</t>
        </r>
      </text>
    </comment>
    <comment ref="C14" authorId="0">
      <text>
        <r>
          <rPr>
            <sz val="9"/>
            <color rgb="FF000000"/>
            <rFont val="Arial"/>
            <family val="2"/>
          </rPr>
          <t>face value per share.rtf _1.doc | Page 1 | Intangible assets under development|0.00</t>
        </r>
      </text>
    </comment>
    <comment ref="C16" authorId="0">
      <text>
        <r>
          <rPr>
            <sz val="9"/>
            <color rgb="FF000000"/>
            <rFont val="Arial"/>
            <family val="2"/>
          </rPr>
          <t>face value per share.rtf _1.doc | Page 1 | Non-current investments|0.00</t>
        </r>
      </text>
    </comment>
    <comment ref="C17" authorId="0">
      <text>
        <r>
          <rPr>
            <sz val="9"/>
            <color rgb="FF000000"/>
            <rFont val="Arial"/>
            <family val="2"/>
          </rPr>
          <t>face value per share.rtf _1.doc | Page 1 | Deferred tax assets (net)|0.00</t>
        </r>
      </text>
    </comment>
    <comment ref="C18" authorId="0">
      <text>
        <r>
          <rPr>
            <sz val="9"/>
            <color rgb="FF000000"/>
            <rFont val="Arial"/>
            <family val="2"/>
          </rPr>
          <t>face value per share.rtf _1.doc | Page 1 | Long-term loans and advances|0.00</t>
        </r>
      </text>
    </comment>
    <comment ref="C19" authorId="0">
      <text>
        <r>
          <rPr>
            <sz val="9"/>
            <color rgb="FF000000"/>
            <rFont val="Arial"/>
            <family val="2"/>
          </rPr>
          <t>face value per share.rtf _1.doc | Page 1 | Other non-current assets|0.00</t>
        </r>
      </text>
    </comment>
    <comment ref="C22" authorId="0">
      <text>
        <r>
          <rPr>
            <sz val="9"/>
            <color rgb="FF000000"/>
            <rFont val="Arial"/>
            <family val="2"/>
          </rPr>
          <t>face value per share.rtf _1.doc | Page 1 | Current investments|0.00</t>
        </r>
      </text>
    </comment>
    <comment ref="C23" authorId="0">
      <text>
        <r>
          <rPr>
            <sz val="9"/>
            <color rgb="FF000000"/>
            <rFont val="Arial"/>
            <family val="2"/>
          </rPr>
          <t>face value per share.rtf _1.doc | Page 1 | Inventories|0.00</t>
        </r>
      </text>
    </comment>
    <comment ref="C24" authorId="0">
      <text>
        <r>
          <rPr>
            <sz val="9"/>
            <color rgb="FF000000"/>
            <rFont val="Arial"/>
            <family val="2"/>
          </rPr>
          <t>face value per share.rtf _1.doc | Page 1 | Trade receivables|0.00</t>
        </r>
      </text>
    </comment>
    <comment ref="C25" authorId="0">
      <text>
        <r>
          <rPr>
            <sz val="9"/>
            <color rgb="FF000000"/>
            <rFont val="Arial"/>
            <family val="2"/>
          </rPr>
          <t>face value per share.rtf _1.doc | Page 1 | Cash and cash equivalents|2346984</t>
        </r>
      </text>
    </comment>
    <comment ref="C26" authorId="0">
      <text>
        <r>
          <rPr>
            <sz val="9"/>
            <color rgb="FF000000"/>
            <rFont val="Arial"/>
            <family val="2"/>
          </rPr>
          <t>face value per share.rtf _1.doc | Page 1 | Short-term loans and advances|0.00</t>
        </r>
      </text>
    </comment>
    <comment ref="C27" authorId="0">
      <text>
        <r>
          <rPr>
            <sz val="9"/>
            <color rgb="FF000000"/>
            <rFont val="Arial"/>
            <family val="2"/>
          </rPr>
          <t>face value per share.rtf _1.doc | Page 1 | Other current assets|810560</t>
        </r>
      </text>
    </comment>
    <comment ref="C33" authorId="0">
      <text>
        <r>
          <rPr>
            <sz val="9"/>
            <color rgb="FF000000"/>
            <rFont val="Arial"/>
            <family val="2"/>
          </rPr>
          <t>face value per share.rtf _1.doc | Page 1 | Long-term borrowings|0.00</t>
        </r>
      </text>
    </comment>
    <comment ref="C34" authorId="0">
      <text>
        <r>
          <rPr>
            <sz val="9"/>
            <color rgb="FF000000"/>
            <rFont val="Arial"/>
            <family val="2"/>
          </rPr>
          <t>face value per share.rtf _1.doc | Page 1 | Deferred tax liabilities (Net)|775</t>
        </r>
      </text>
    </comment>
    <comment ref="C35" authorId="0">
      <text>
        <r>
          <rPr>
            <sz val="9"/>
            <color rgb="FF000000"/>
            <rFont val="Arial"/>
            <family val="2"/>
          </rPr>
          <t>face value per share.rtf _1.doc | Page 1 | Other long term liabilities|0.00</t>
        </r>
      </text>
    </comment>
    <comment ref="C36" authorId="0">
      <text>
        <r>
          <rPr>
            <sz val="9"/>
            <color rgb="FF000000"/>
            <rFont val="Arial"/>
            <family val="2"/>
          </rPr>
          <t>face value per share.rtf _1.doc | Page 1 | Long-term provisions|0.00</t>
        </r>
      </text>
    </comment>
    <comment ref="C37" authorId="0">
      <text>
        <r>
          <rPr>
            <sz val="9"/>
            <color rgb="FF000000"/>
            <rFont val="Arial"/>
            <family val="2"/>
          </rPr>
          <t>face value per share.rtf _1.doc | Page 1 | 0.00</t>
        </r>
      </text>
    </comment>
    <comment ref="C39" authorId="0">
      <text>
        <r>
          <rPr>
            <sz val="9"/>
            <color rgb="FF000000"/>
            <rFont val="Arial"/>
            <family val="2"/>
          </rPr>
          <t>face value per share.rtf _1.doc | Page 1 | Short-term borrowings|16228190.90</t>
        </r>
      </text>
    </comment>
    <comment ref="C41" authorId="0">
      <text>
        <r>
          <rPr>
            <sz val="9"/>
            <color rgb="FF000000"/>
            <rFont val="Arial"/>
            <family val="2"/>
          </rPr>
          <t>face value per share.rtf _1.doc | Page 1 | (A) Micro enterprises and small enterprises|0.00</t>
        </r>
      </text>
    </comment>
    <comment ref="C42" authorId="0">
      <text>
        <r>
          <rPr>
            <sz val="9"/>
            <color rgb="FF000000"/>
            <rFont val="Arial"/>
            <family val="2"/>
          </rPr>
          <t>face value per share.rtf _1.doc | Page 1 | (B) Others|0.00</t>
        </r>
      </text>
    </comment>
    <comment ref="C43" authorId="0">
      <text>
        <r>
          <rPr>
            <sz val="9"/>
            <color rgb="FF000000"/>
            <rFont val="Arial"/>
            <family val="2"/>
          </rPr>
          <t>face value per share.rtf _1.doc | Page 1 | Other current liabilities|0.00</t>
        </r>
      </text>
    </comment>
    <comment ref="C44" authorId="0">
      <text>
        <r>
          <rPr>
            <sz val="9"/>
            <color rgb="FF000000"/>
            <rFont val="Arial"/>
            <family val="2"/>
          </rPr>
          <t>face value per share.rtf _1.doc | Page 1 | Short-term provisions|0.00</t>
        </r>
      </text>
    </comment>
    <comment ref="C45" authorId="0">
      <text>
        <r>
          <rPr>
            <sz val="9"/>
            <color rgb="FF000000"/>
            <rFont val="Arial"/>
            <family val="2"/>
          </rPr>
          <t>face value per share.rtf _1.doc | Page 1 | 16228965.90</t>
        </r>
      </text>
    </comment>
    <comment ref="C49" authorId="0">
      <text>
        <r>
          <rPr>
            <sz val="9"/>
            <color rgb="FF000000"/>
            <rFont val="Arial"/>
            <family val="2"/>
          </rPr>
          <t>face value per share.rtf _1.doc | Page 1 | No of shares out standing|60000</t>
        </r>
      </text>
    </comment>
  </commentList>
</comments>
</file>

<file path=xl/sharedStrings.xml><?xml version="1.0" encoding="utf-8"?>
<sst xmlns="http://schemas.openxmlformats.org/spreadsheetml/2006/main" count="443" uniqueCount="443">
  <si>
    <t>ASTRAL SCHOOL — Executive Summary</t>
  </si>
  <si>
    <t>Nagre Nagar | Excelerate Learning Foundation | 6-Year Financial Overview</t>
  </si>
  <si>
    <t>Revenue CAGR</t>
  </si>
  <si>
    <t>Cumulative Net Income</t>
  </si>
  <si>
    <t>Payback Period</t>
  </si>
  <si>
    <t>Student Growth</t>
  </si>
  <si>
    <t>Year 3</t>
  </si>
  <si>
    <t>5-Year Compound Annual</t>
  </si>
  <si>
    <t>6-Year Total (₹)</t>
  </si>
  <si>
    <t>Cumulative Breakeven</t>
  </si>
  <si>
    <t>200 → 540 Students</t>
  </si>
  <si>
    <t>Year-by-Year Performance</t>
  </si>
  <si>
    <t>Year</t>
  </si>
  <si>
    <t>Students</t>
  </si>
  <si>
    <t>Revenue</t>
  </si>
  <si>
    <t>Total Expenses</t>
  </si>
  <si>
    <t>Net Income</t>
  </si>
  <si>
    <t>Margin %</t>
  </si>
  <si>
    <t>Cumulative Income</t>
  </si>
  <si>
    <t>YoY Revenue Growth</t>
  </si>
  <si>
    <t>THIS</t>
  </si>
  <si>
    <t>—</t>
  </si>
  <si>
    <t>2027-28</t>
  </si>
  <si>
    <t>2028-29</t>
  </si>
  <si>
    <t>2029-30</t>
  </si>
  <si>
    <t>2030-31</t>
  </si>
  <si>
    <t>2031-32</t>
  </si>
  <si>
    <t>Investor Return Scenarios</t>
  </si>
  <si>
    <t>Based on 15% equity stake | ~₹11.67 Lacs per 1% equity | ₹1.75 Cr total raise</t>
  </si>
  <si>
    <t>Deal Structure</t>
  </si>
  <si>
    <t>Equity Offered</t>
  </si>
  <si>
    <t>Total Investment</t>
  </si>
  <si>
    <t>(₹)</t>
  </si>
  <si>
    <t>Price per 1% Equity</t>
  </si>
  <si>
    <t>(₹ per 1%)</t>
  </si>
  <si>
    <t>Implied Pre-Money Valuation</t>
  </si>
  <si>
    <t>Implied Post-Money Valuation</t>
  </si>
  <si>
    <t>Investor Return by Year</t>
  </si>
  <si>
    <t>Investor Share of Income</t>
  </si>
  <si>
    <t>Cumulative Investor Income</t>
  </si>
  <si>
    <t>ROI on Investment</t>
  </si>
  <si>
    <t>Investor Multiple</t>
  </si>
  <si>
    <t>Exit Valuation Scenarios (Year 6 — 2031-32)</t>
  </si>
  <si>
    <t>Investor exit value = 15% × School Valuation at exit</t>
  </si>
  <si>
    <t>Valuation Method</t>
  </si>
  <si>
    <t>Revenue Multiple</t>
  </si>
  <si>
    <t>School Valuation</t>
  </si>
  <si>
    <t>Investor Exit Value</t>
  </si>
  <si>
    <t>Total Return (Exit + Income)</t>
  </si>
  <si>
    <t>ROI</t>
  </si>
  <si>
    <t>MOIC</t>
  </si>
  <si>
    <t>Conservative</t>
  </si>
  <si>
    <t>Base Case</t>
  </si>
  <si>
    <t>Optimistic</t>
  </si>
  <si>
    <t>Moderate Growth Scenario</t>
  </si>
  <si>
    <t>~75–120 students/year growth vs ~50–90 in conservative | Proportional expense &amp; staff scaling</t>
  </si>
  <si>
    <t>Growth Assumptions</t>
  </si>
  <si>
    <t>2026-27</t>
  </si>
  <si>
    <t>Conservative Students</t>
  </si>
  <si>
    <t>Moderate Students</t>
  </si>
  <si>
    <t>YoY Student Addition</t>
  </si>
  <si>
    <t>Scale Factor vs Conservative</t>
  </si>
  <si>
    <t>Projected Staff (Moderate)</t>
  </si>
  <si>
    <t>Educators</t>
  </si>
  <si>
    <t>Aunties</t>
  </si>
  <si>
    <t>Security Staff</t>
  </si>
  <si>
    <t>Visiting Faculty</t>
  </si>
  <si>
    <t>Administrative Staff</t>
  </si>
  <si>
    <t>Principal &amp; HM</t>
  </si>
  <si>
    <t>Total Staff</t>
  </si>
  <si>
    <t>Projected P&amp;L (Moderate Growth)</t>
  </si>
  <si>
    <t>Staff Expenses</t>
  </si>
  <si>
    <t>Rent</t>
  </si>
  <si>
    <t>One-Time Expenses</t>
  </si>
  <si>
    <t>In-House Events</t>
  </si>
  <si>
    <t>Mktng+Legal+Emergency</t>
  </si>
  <si>
    <t>Other Expenses</t>
  </si>
  <si>
    <t>Net Margin %</t>
  </si>
  <si>
    <t>Net Income Comparison</t>
  </si>
  <si>
    <t>Conservative Net Income</t>
  </si>
  <si>
    <t>Moderate Net Income</t>
  </si>
  <si>
    <t>Upside (₹)</t>
  </si>
  <si>
    <t>Sports Complex — Revenue Model</t>
  </si>
  <si>
    <t>10,000+ sq ft | Turf, Courts, Indoor Hall | School + Commercial Use</t>
  </si>
  <si>
    <t>Facility &amp; Pricing Assumptions</t>
  </si>
  <si>
    <t>Turf — Hourly Rate (₹)</t>
  </si>
  <si>
    <t>Badminton Court — Hourly Rate (₹)</t>
  </si>
  <si>
    <t>Rental Hours/Day (7–10 PM)</t>
  </si>
  <si>
    <t>Operating Days/Month</t>
  </si>
  <si>
    <t>Occupancy Rate</t>
  </si>
  <si>
    <t>Revenue Streams</t>
  </si>
  <si>
    <t>Turf Rentals</t>
  </si>
  <si>
    <t>Court Rentals (added Year 2)</t>
  </si>
  <si>
    <t xml:space="preserve">  Coaching Students</t>
  </si>
  <si>
    <t xml:space="preserve">  Monthly Fee (₹)</t>
  </si>
  <si>
    <t>Coaching Academy (4–7 PM)</t>
  </si>
  <si>
    <t>Tournaments &amp; Events</t>
  </si>
  <si>
    <t>Corporate &amp; Private Bookings</t>
  </si>
  <si>
    <t>Total Sports Revenue</t>
  </si>
  <si>
    <t>Operating Costs</t>
  </si>
  <si>
    <t>Turf/Court Maintenance</t>
  </si>
  <si>
    <t>Sports Staff &amp; Coaches (3→8)</t>
  </si>
  <si>
    <t>Utilities &amp; Insurance</t>
  </si>
  <si>
    <t>Marketing &amp; Promotions</t>
  </si>
  <si>
    <t>Total Operating Costs</t>
  </si>
  <si>
    <t>Sports Complex — Net Profit</t>
  </si>
  <si>
    <t>6-Year Total</t>
  </si>
  <si>
    <t>Total Revenue</t>
  </si>
  <si>
    <t>Total Costs</t>
  </si>
  <si>
    <t>Net Profit</t>
  </si>
  <si>
    <t>Monthly Revenue (avg)</t>
  </si>
  <si>
    <t>★ Monthly revenue starts at ~₹20K and scales to ₹7L+/month by Year 6</t>
  </si>
  <si>
    <t>Investor Returns — School + Sports Complex Combined</t>
  </si>
  <si>
    <t>15% equity | ₹1.75 Cr investment | All scenarios include sports complex profit</t>
  </si>
  <si>
    <t>School Income (Conservative)</t>
  </si>
  <si>
    <t>School Income (Moderate)</t>
  </si>
  <si>
    <t>School Income (Bullish)</t>
  </si>
  <si>
    <t>Sports Complex Profit</t>
  </si>
  <si>
    <t>Combined Income (School + Sports) — Investor's 15% Share</t>
  </si>
  <si>
    <t>Total: Conservative + Sports</t>
  </si>
  <si>
    <t>Total: Moderate + Sports</t>
  </si>
  <si>
    <t>Total: Bullish + Sports</t>
  </si>
  <si>
    <t>Investor 15% Share</t>
  </si>
  <si>
    <t>Conservative + Sports</t>
  </si>
  <si>
    <t>Moderate + Sports</t>
  </si>
  <si>
    <t>Bullish + Sports</t>
  </si>
  <si>
    <t>Investor Return Summary (with Sports Complex)</t>
  </si>
  <si>
    <t>Scenario</t>
  </si>
  <si>
    <t>6-Year Income Share</t>
  </si>
  <si>
    <t>Y6 Revenue (School+Sports)</t>
  </si>
  <si>
    <t>Exit Value (3x Rev, 15%)</t>
  </si>
  <si>
    <t>Total Return</t>
  </si>
  <si>
    <t>ROI %</t>
  </si>
  <si>
    <t>Investment</t>
  </si>
  <si>
    <t>★ Adding sports complex revenue significantly improves investor returns across all scenarios</t>
  </si>
  <si>
    <t>Bullish Growth Scenario</t>
  </si>
  <si>
    <t>~100–170 students/year growth | Proportional expense &amp; staff scaling</t>
  </si>
  <si>
    <t>Bullish Students</t>
  </si>
  <si>
    <t>Projected Staff (Bullish)</t>
  </si>
  <si>
    <t>Projected P&amp;L (Bullish Growth)</t>
  </si>
  <si>
    <t>Net Income Comparison — All Scenarios</t>
  </si>
  <si>
    <t>Moderate</t>
  </si>
  <si>
    <t>Bullish</t>
  </si>
  <si>
    <t>Investor Returns — Scenario Comparison</t>
  </si>
  <si>
    <t>15% equity stake | ₹1.75 Cr investment | Investor's share of annual net income</t>
  </si>
  <si>
    <t>Investor's 15% Income Share by Year</t>
  </si>
  <si>
    <t>Investor Total Return at Exit (Year 6 — 3x Revenue Multiple)</t>
  </si>
  <si>
    <t>Y6 Revenue</t>
  </si>
  <si>
    <t>Valuation (3x Rev)</t>
  </si>
  <si>
    <t>Investor 15% Equity</t>
  </si>
  <si>
    <t>Cumul Income Share</t>
  </si>
  <si>
    <t>Investment Amount</t>
  </si>
  <si>
    <t>Investor Benefit Summary</t>
  </si>
  <si>
    <t>▸</t>
  </si>
  <si>
    <t>15% annual income share provides recurring cash returns from Year 1 itself across all scenarios</t>
  </si>
  <si>
    <t>At 3x revenue exit valuation, investor recovers full capital even in the conservative case</t>
  </si>
  <si>
    <t>Moderate scenario: ₹1.75 Cr investment → Total return with 3x exit + income share</t>
  </si>
  <si>
    <t>Bullish scenario: 920 students by Year 6 drives significantly higher equity value at exit</t>
  </si>
  <si>
    <t>Sports complex revenue (not modeled above) provides additional upside beyond tuition income</t>
  </si>
  <si>
    <t>Fund Infusion — Use of Proceeds</t>
  </si>
  <si>
    <t>₹1.75 Crore Investment Allocation &amp; Impact</t>
  </si>
  <si>
    <t>Existing Loan Obligations</t>
  </si>
  <si>
    <t>Loan Type</t>
  </si>
  <si>
    <t>Outstanding (₹)</t>
  </si>
  <si>
    <t>EMI/Month (₹)</t>
  </si>
  <si>
    <t>Interest Rate</t>
  </si>
  <si>
    <t>Tenure</t>
  </si>
  <si>
    <t>Home Loan</t>
  </si>
  <si>
    <t>Gold Loan 1</t>
  </si>
  <si>
    <t>Gold Loan 2</t>
  </si>
  <si>
    <t>Personal Loan</t>
  </si>
  <si>
    <t>Total</t>
  </si>
  <si>
    <t>Fund Allocation Breakdown</t>
  </si>
  <si>
    <t>Purpose</t>
  </si>
  <si>
    <t>Amount (₹)</t>
  </si>
  <si>
    <t>% of Fund</t>
  </si>
  <si>
    <t>Details</t>
  </si>
  <si>
    <t>Board Permissions</t>
  </si>
  <si>
    <t>Maharashtra Board registration — one-time expense</t>
  </si>
  <si>
    <t>Loan Repayment</t>
  </si>
  <si>
    <t>Square off existing loans; reduce EMI burden on working capital</t>
  </si>
  <si>
    <t>Computer Lab, Library &amp; Soft Play Zone</t>
  </si>
  <si>
    <t>30+ computers, state-of-the-art library setup</t>
  </si>
  <si>
    <t>Sports Turf &amp; Multipurpose Court</t>
  </si>
  <si>
    <t>Cricket turf, tennis &amp; badminton court — revenue generating asset</t>
  </si>
  <si>
    <t>★ Revenue Generating</t>
  </si>
  <si>
    <t>Working Capital Reserve</t>
  </si>
  <si>
    <t>Buffer for operational cash flow gaps</t>
  </si>
  <si>
    <t>Total Fund Utilisation</t>
  </si>
  <si>
    <t>Sports Complex — Additional Revenue Opportunity</t>
  </si>
  <si>
    <t>10,000+ sq ft ground to be developed as a multi-sport complex</t>
  </si>
  <si>
    <t>Facilities: Cricket/Tennis turf, Badminton &amp; Skating court, Indoor Gymnastics hall</t>
  </si>
  <si>
    <t>School use during school hours; open for public booking after hours</t>
  </si>
  <si>
    <t>Revenue streams: Hourly rentals, coaching academies, weekend tournaments, corporate events</t>
  </si>
  <si>
    <t>Estimated to generate significant recurring revenue independent of school fees</t>
  </si>
  <si>
    <t>ASTRAL SCHOOL — Nagre Nagar</t>
  </si>
  <si>
    <t>Financial Projections 2026–2032</t>
  </si>
  <si>
    <t>Fees Collection</t>
  </si>
  <si>
    <t>Annual Collection</t>
  </si>
  <si>
    <t>Staff Plan &amp; Growth</t>
  </si>
  <si>
    <t>Category</t>
  </si>
  <si>
    <t>Grades</t>
  </si>
  <si>
    <t>Grades Offered</t>
  </si>
  <si>
    <t>GRADES</t>
  </si>
  <si>
    <t>PG,NUR,JR,SRKG,1,2</t>
  </si>
  <si>
    <t>PG-Gr3</t>
  </si>
  <si>
    <t>PG -GRADE 3</t>
  </si>
  <si>
    <t>PG -GRADE 4</t>
  </si>
  <si>
    <t>PG -GRADE 5</t>
  </si>
  <si>
    <t>PG -GRADE 6</t>
  </si>
  <si>
    <t>no</t>
  </si>
  <si>
    <t>Student Growth — Historical &amp; Projected</t>
  </si>
  <si>
    <t>COVID impact noted in 2020-21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</si>
  <si>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</si>
  <si>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</si>
  <si>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</si>
  <si>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</si>
  <si>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</si>
  <si>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</si>
  <si>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</si>
  <si>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</si>
  <si>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Nagre Nagar</t>
  </si>
  <si>
    <t>Govind Nagar</t>
  </si>
  <si>
    <t>Investor Notes</t>
  </si>
  <si>
    <t>The numbers will be achieved since we have two preschools — one in Nagre Nagar and second in Govind Nagar.</t>
  </si>
  <si>
    <t>We intend to launch 1 more preschool in Ranvishankar Marg or Pathardi in the next two years, which will increase numbers at pre-primary level, thus ensuring subsequent growth in Grade 1 and 2 numbers.</t>
  </si>
  <si>
    <t>The investor will have a share in Nagre Nagar school which now goes under the banner Excelerate Learning Foundation.</t>
  </si>
  <si>
    <t>Govind Nagar and any other preschool started in near future will continue to remain standalone entities.</t>
  </si>
  <si>
    <t>Constructed area is 8,500 sq ft (classrooms only). We intend to construct a hall of 2,500 sq ft separately for dance and other indoor activities.</t>
  </si>
  <si>
    <t xml:space="preserve"> </t>
  </si>
  <si>
    <t>YEAR</t>
  </si>
  <si>
    <t>NUMBER</t>
  </si>
  <si>
    <t>FEES</t>
  </si>
  <si>
    <t>ANNUAL COLLECTION</t>
  </si>
  <si>
    <t>STAFF EXPENSES</t>
  </si>
  <si>
    <t>rent</t>
  </si>
  <si>
    <t>ONE TIME EXPENSE</t>
  </si>
  <si>
    <t>PROVISION</t>
  </si>
  <si>
    <t>IN HOUSE EVENTS</t>
  </si>
  <si>
    <t>MKTNG+LEGAL+EMERGENCY</t>
  </si>
  <si>
    <t>OTHER EXPENSES(App+bills+Staff welness+Maintainance up keep+travel)</t>
  </si>
  <si>
    <t>TOTAL EXPENSES</t>
  </si>
  <si>
    <t>INCOME</t>
  </si>
  <si>
    <t>year</t>
  </si>
  <si>
    <t>expenses break up</t>
  </si>
  <si>
    <t>expenses</t>
  </si>
  <si>
    <t>educators</t>
  </si>
  <si>
    <t>aunties</t>
  </si>
  <si>
    <t>security staff</t>
  </si>
  <si>
    <t xml:space="preserve"> visiting faculty</t>
  </si>
  <si>
    <t>Administrative staff</t>
  </si>
  <si>
    <t>PRINCIPAL&amp; HM</t>
  </si>
  <si>
    <t>Revenue per Student (₹)</t>
  </si>
  <si>
    <t>Nagre Nagar driver</t>
  </si>
  <si>
    <t>COVID HIT SCHOOL WENT ONLINE</t>
  </si>
  <si>
    <t>2026-2027</t>
  </si>
  <si>
    <t>Student Strength Nagre Nagar</t>
  </si>
  <si>
    <t>Student Strength Govind Nagar</t>
  </si>
  <si>
    <t>TOTAL</t>
  </si>
  <si>
    <t>NOTES</t>
  </si>
  <si>
    <t>The numbers will be achieved since we have two preschools one in Nagre nagar and second in Govind nagar</t>
  </si>
  <si>
    <t>We intend to launch 1 more preschool in Ranvishankar marg or pathardi in the next two years WHICH WILL RAKE UP NUMBERS AT PRE PRIMARY LEVEL THUS ENSURING SUBSEQUENT GROWTH IN GRADE 1 AND 2 NUMBERS</t>
  </si>
  <si>
    <t>The investor will have a share in Nagre nagar school which now goes under the banner Excelerate Learning Foundation</t>
  </si>
  <si>
    <t>Govind Nagar and any other preschool started in near future will continue to remain standalone entites</t>
  </si>
  <si>
    <t>CONTRUCTED AREA</t>
  </si>
  <si>
    <t xml:space="preserve">constructed area is 8500 sqft. These are classes only we intend to construct a hall of 2500 sqft separately for dance and other indoor activities </t>
  </si>
  <si>
    <t>LOANS TAKEN TOWARDS CONSTRUCTION</t>
  </si>
  <si>
    <t>Type</t>
  </si>
  <si>
    <t>INTREST RATE</t>
  </si>
  <si>
    <t>EMI</t>
  </si>
  <si>
    <t>TENURE YRS</t>
  </si>
  <si>
    <t>Home loan</t>
  </si>
  <si>
    <t>Gold loan 1</t>
  </si>
  <si>
    <t>FLEXI</t>
  </si>
  <si>
    <t>Personal loan</t>
  </si>
  <si>
    <t>FUND INFUSION USE</t>
  </si>
  <si>
    <t xml:space="preserve">AMOUNT WILL BE USED TO </t>
  </si>
  <si>
    <t>PERMISSION FROM EDUCATIONAL BOARD</t>
  </si>
  <si>
    <t>ONE TIME EXPENSE TOWARDS MAHARASTRA BOARD PERMISSIONS</t>
  </si>
  <si>
    <t xml:space="preserve">SQUARE OF LOANS </t>
  </si>
  <si>
    <t>AS EMI ARE HEAVY RIGHT NOW BURDEN ON WORKING CAPITAL IS HIGH WE WISH TO OFF LOAD THAT</t>
  </si>
  <si>
    <t>COMPUTER LAB AND LIBRARY SOFT PLAY ZONE</t>
  </si>
  <si>
    <t>WE WISH TO ADD A STATE OF THE ART COMPUTER LAB AND LIBRARAY WITH 30 COMPUTERS MINIMUM</t>
  </si>
  <si>
    <t>SPORTS TURF</t>
  </si>
  <si>
    <t>A TURF AND MULTIPURPOSE COURT FOR SCHOOL KIDS AS WELL AS TO BE USED FOR AFTER SCHOOL HOURS FOR ADDITIONAL REVENUE GENRATION</t>
  </si>
  <si>
    <t xml:space="preserve">FUNDS TO BE KEPT TOWARDS WORKING CAPITAL DEFICINECY </t>
  </si>
  <si>
    <t>A GROUND OF MORE THAN 10000 SQFT WILL BE DEVLOPED FOR ADDITIONAL REVENUE GENERATION</t>
  </si>
  <si>
    <t>WE INTEND TO START A SPORTS COMPLEX</t>
  </si>
  <si>
    <t>MULTIPURPOSE BADMINTON AND SKATING COURT AND TURF FOR CRICKET AND TENNIS</t>
  </si>
  <si>
    <t>AN INDOOR HALL FOR GYMNASTICS'</t>
  </si>
  <si>
    <t>EXCELERATE LEARNING FOUNDATION</t>
  </si>
  <si>
    <t>QTR. A1 AMBAD LINK RD, CIDCO NASHIK, Trimurti Chowk, Nashik, Nashik,Maharashtra, India, 422008</t>
  </si>
  <si>
    <t>CIN : U88900MH2025NPL445351</t>
  </si>
  <si>
    <t>Particulars</t>
  </si>
  <si>
    <t>As at 31st March 2026</t>
  </si>
  <si>
    <t>ASSETS</t>
  </si>
  <si>
    <t>Non-current assets</t>
  </si>
  <si>
    <t>Property,Plant and Equipment and Intangible assets</t>
  </si>
  <si>
    <t>Property,Plant and Equipment</t>
  </si>
  <si>
    <t>Intangible assets</t>
  </si>
  <si>
    <t>Capital work-in-Progress</t>
  </si>
  <si>
    <t>Intangible assets under development</t>
  </si>
  <si>
    <t>Non-current investments</t>
  </si>
  <si>
    <t>Deferred tax assets (net)</t>
  </si>
  <si>
    <t>Long-term loans and advances</t>
  </si>
  <si>
    <t>Other non-current assets</t>
  </si>
  <si>
    <t>Current assets</t>
  </si>
  <si>
    <t>Current investments</t>
  </si>
  <si>
    <t>Inventories</t>
  </si>
  <si>
    <t>Trade receivables</t>
  </si>
  <si>
    <t>Cash and cash equivalents</t>
  </si>
  <si>
    <t>Short-term loans and advances</t>
  </si>
  <si>
    <t>Other current assets</t>
  </si>
  <si>
    <t>TOTAL ASSETS</t>
  </si>
  <si>
    <t>LIABILITIES</t>
  </si>
  <si>
    <t>Non-current liabilities</t>
  </si>
  <si>
    <t>Long-term borrowings</t>
  </si>
  <si>
    <t>Deferred tax liabilities (Net)</t>
  </si>
  <si>
    <t>Other long term liabilities</t>
  </si>
  <si>
    <t>Long-term provisions</t>
  </si>
  <si>
    <t>Current liabilities</t>
  </si>
  <si>
    <t>Short-term borrowings</t>
  </si>
  <si>
    <t>Trade payables</t>
  </si>
  <si>
    <t>(A) Micro enterprises and small enterprises</t>
  </si>
  <si>
    <t>(B) Others</t>
  </si>
  <si>
    <t>Other current liabilities</t>
  </si>
  <si>
    <t>Short-term provisions</t>
  </si>
  <si>
    <t>TOTAL LIABILITIES</t>
  </si>
  <si>
    <t>NET ASSETS</t>
  </si>
  <si>
    <t>No of shares out standing</t>
  </si>
  <si>
    <t>Fair Value Per Share</t>
  </si>
  <si>
    <t>CA Reference Note</t>
  </si>
  <si>
    <t>Rounded CA reference per user instruction; all other CA figures retained.</t>
  </si>
  <si>
    <t>ASTRAL SCHOOL — INVESTOR PITCH</t>
  </si>
  <si>
    <t>Excelerate Learning Foundation | Equity raise &amp; growth plan</t>
  </si>
  <si>
    <t>Investment Snapshot</t>
  </si>
  <si>
    <t>Metric</t>
  </si>
  <si>
    <t>Value</t>
  </si>
  <si>
    <t>Unit</t>
  </si>
  <si>
    <t>Investor Relevance</t>
  </si>
  <si>
    <t>₹ / 1%</t>
  </si>
  <si>
    <t>User-approved pitch input</t>
  </si>
  <si>
    <t>Base Equity Offered</t>
  </si>
  <si>
    <t>%</t>
  </si>
  <si>
    <t>Base case</t>
  </si>
  <si>
    <t>Base Raise</t>
  </si>
  <si>
    <t>₹</t>
  </si>
  <si>
    <t>10% equity at ₹10 lakh per 1%</t>
  </si>
  <si>
    <t>Negotiated pitch valuation</t>
  </si>
  <si>
    <t>Post-money less base raise</t>
  </si>
  <si>
    <t>CA Reference Per Share</t>
  </si>
  <si>
    <t>₹ / share</t>
  </si>
  <si>
    <t>Rounded CA reference; separate from pitch price</t>
  </si>
  <si>
    <t>Current Students</t>
  </si>
  <si>
    <t>students</t>
  </si>
  <si>
    <t>User-provided pitch assumption</t>
  </si>
  <si>
    <t>Current Revenue</t>
  </si>
  <si>
    <t>₹ / year</t>
  </si>
  <si>
    <t>Approximate at 200 students</t>
  </si>
  <si>
    <t>Key Loans</t>
  </si>
  <si>
    <t>Linked detailed obligations</t>
  </si>
  <si>
    <t>Current EMI</t>
  </si>
  <si>
    <t>₹ / month</t>
  </si>
  <si>
    <t>Linked current monthly EMI</t>
  </si>
  <si>
    <t>Equity Price Card</t>
  </si>
  <si>
    <t>Equity Stake</t>
  </si>
  <si>
    <t>Investment (₹)</t>
  </si>
  <si>
    <t>Implied Post-Money (₹)</t>
  </si>
  <si>
    <t>Notes</t>
  </si>
  <si>
    <t>Entry ticket</t>
  </si>
  <si>
    <t>Smaller strategic participation</t>
  </si>
  <si>
    <t>Base pitch</t>
  </si>
  <si>
    <t>Larger strategic participation</t>
  </si>
  <si>
    <t>Use of Funds — Base Raise</t>
  </si>
  <si>
    <t>Use</t>
  </si>
  <si>
    <t>Allocation</t>
  </si>
  <si>
    <t>Investor Impact</t>
  </si>
  <si>
    <t>Balance Check</t>
  </si>
  <si>
    <t>Loan repayment / EMI reduction</t>
  </si>
  <si>
    <t>Square off selected loans gradually</t>
  </si>
  <si>
    <t>Lower monthly burden and improve cash retention</t>
  </si>
  <si>
    <t>Learning facilities</t>
  </si>
  <si>
    <t>Computer lab, library, soft-play and classroom upgrades</t>
  </si>
  <si>
    <t>Improve school proposition and capacity</t>
  </si>
  <si>
    <t>Sports / activity facilities</t>
  </si>
  <si>
    <t>Sports turf, multipurpose court and activity zone</t>
  </si>
  <si>
    <t>Additional revenue potential</t>
  </si>
  <si>
    <t>Working capital / execution reserve</t>
  </si>
  <si>
    <t>Operational buffer during build-out</t>
  </si>
  <si>
    <t>Protect delivery and cash flow</t>
  </si>
  <si>
    <t>Total Planned Use</t>
  </si>
  <si>
    <t>100% of base raise</t>
  </si>
  <si>
    <t>Must equal base raise</t>
  </si>
  <si>
    <t>OK</t>
  </si>
  <si>
    <t>Illustrative EMI Relief (not a lender quote)</t>
  </si>
  <si>
    <t>If repayments reduce obligations pro rata</t>
  </si>
  <si>
    <t>Estimated monthly relief</t>
  </si>
  <si>
    <t>Illustrative Annual EMI Relief</t>
  </si>
  <si>
    <t>Monthly relief × 12</t>
  </si>
  <si>
    <t>Reinvest in operations or growth</t>
  </si>
  <si>
    <t>Growth Outlook — Moderate Scenario</t>
  </si>
  <si>
    <t>Revenue (₹)</t>
  </si>
  <si>
    <t>Net Income (₹)</t>
  </si>
  <si>
    <t>Net Margin</t>
  </si>
  <si>
    <t>6-Year Revenue CAGR</t>
  </si>
  <si>
    <t>6-Year Cumulative Net Income</t>
  </si>
  <si>
    <t>Growth Outlook — Bullish Scenario</t>
  </si>
  <si>
    <t>Investor Income Share — Base 10% Equity</t>
  </si>
  <si>
    <t>Moderate Investor 10%</t>
  </si>
  <si>
    <t>Bullish Net Income</t>
  </si>
  <si>
    <t>Bullish Investor 10%</t>
  </si>
  <si>
    <t>6-Year Cumulative Income</t>
  </si>
  <si>
    <t>Illustrative Exit Scenarios — Year 6</t>
  </si>
  <si>
    <t>Year-6 Revenue</t>
  </si>
  <si>
    <t>Cumulative Income Share</t>
  </si>
  <si>
    <t>Key Investor Considerations</t>
  </si>
  <si>
    <t>Debt &amp; EMI</t>
  </si>
  <si>
    <t>Existing model shows ₹96 lakh of loans and ₹94,000 monthly EMI; repayment allocation is illustrative and lender-specific.</t>
  </si>
  <si>
    <t>Execution</t>
  </si>
  <si>
    <t>Enrollment, staffing, construction and facility rollout may differ from projections.</t>
  </si>
  <si>
    <t>Forecasts</t>
  </si>
  <si>
    <t>Moderate and bullish projections are management scenarios, not guarantees.</t>
  </si>
  <si>
    <t>Returns</t>
  </si>
  <si>
    <t>Income share and exit values are illustrative; no fixed return or exit liquidity is promised.</t>
  </si>
  <si>
    <t>Valuation</t>
  </si>
  <si>
    <t>₹10 lakh per 1% implies ₹10 crore post-money; the rounded CA reference of ₹31/share is a separate accounting reference.</t>
  </si>
  <si>
    <t>Documentation</t>
  </si>
  <si>
    <t>Final cap table, dilution, governance, dividend, transfer rights and definitive agreements must be documented.</t>
  </si>
  <si>
    <t>Value Creation Plan</t>
  </si>
  <si>
    <t>Debt reduction</t>
  </si>
  <si>
    <t>Lower EMI burden and improve cash available for operations.</t>
  </si>
  <si>
    <t>Invest in computer lab, library, soft play and classroom quality.</t>
  </si>
  <si>
    <t>Growth capacity</t>
  </si>
  <si>
    <t>Support student growth through staff and facility capacity.</t>
  </si>
  <si>
    <t>New revenue options</t>
  </si>
  <si>
    <t>Sports and activity facilities can support after-hours bookings.</t>
  </si>
  <si>
    <t>ASTRAL SCHOOL — INVESTOR PITCH 2</t>
  </si>
  <si>
    <t>Excelerate Learning Foundation | Equity raise at ₹15 lakh per 1% equity</t>
  </si>
  <si>
    <t>Alternative pitch input</t>
  </si>
  <si>
    <t>10% equity at ₹15 lakh per 1%</t>
  </si>
  <si>
    <t>Equity Price Card — ₹15 Lakh per 1%</t>
  </si>
  <si>
    <t>Use of Funds — ₹1.50 Crore Base Raise</t>
  </si>
  <si>
    <t>Investor Income Share — Base 10% Equity / ₹1.50 Crore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</si>
</sst>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7819" formatCode="0.0%"/>
    <numFmt numFmtId="47820" formatCode="#,##,##0"/>
    <numFmt numFmtId="47828" formatCode="#,##,##0;(#,##,##0)"/>
    <numFmt numFmtId="47829" formatCode="0.00x"/>
    <numFmt numFmtId="47832" formatCode="0.0x"/>
    <numFmt numFmtId="47857" formatCode="0 &quot;Yrs&quot;"/>
    <numFmt numFmtId="48482" formatCode="#,##,##0.00"/>
    <numFmt numFmtId="48620" formatCode="0.0%;(0.0%);-"/>
  </numFmts>
  <fonts count="60">
    <font>
      <b val="0"/>
      <i val="0"/>
      <sz val="10"/>
      <color rgb="FF000000"/>
      <name val="Calibri"/>
      <scheme val="minor"/>
    </font>
    <font>
      <b/>
      <i val="0"/>
      <sz val="18"/>
      <color rgb="FF1B2A4A"/>
      <name val="Calibri"/>
    </font>
    <font>
      <b val="0"/>
      <i val="0"/>
      <sz val="11"/>
      <color rgb="FF888888"/>
      <name val="Calibri"/>
    </font>
    <font>
      <b val="0"/>
      <i val="0"/>
      <sz val="10"/>
      <color auto="1"/>
      <name val="Calibri"/>
      <scheme val="minor"/>
    </font>
    <font>
      <b/>
      <i val="0"/>
      <sz val="10"/>
      <color rgb="FFFFFFFF"/>
      <name val="Calibri"/>
    </font>
    <font>
      <b/>
      <i val="0"/>
      <sz val="24"/>
      <color rgb="FF27AE60"/>
      <name val="Calibri"/>
    </font>
    <font>
      <b/>
      <i val="0"/>
      <sz val="22"/>
      <color rgb="FF1B2A4A"/>
      <name val="Calibri"/>
    </font>
    <font>
      <b/>
      <i val="0"/>
      <sz val="24"/>
      <color rgb="FF1B2A4A"/>
      <name val="Calibri"/>
    </font>
    <font>
      <b val="0"/>
      <i/>
      <sz val="9"/>
      <color rgb="FF4A4A4A"/>
      <name val="Calibri"/>
    </font>
    <font>
      <b/>
      <i val="0"/>
      <sz val="14"/>
      <color rgb="FF1B2A4A"/>
      <name val="Calibri"/>
    </font>
    <font>
      <b val="0"/>
      <i val="0"/>
      <sz val="11"/>
      <color auto="1"/>
      <name val="Calibri"/>
    </font>
    <font>
      <b val="0"/>
      <i val="0"/>
      <sz val="11"/>
      <color rgb="FF333333"/>
      <name val="Calibri"/>
    </font>
    <font>
      <b/>
      <i val="0"/>
      <sz val="11"/>
      <color rgb="FF0000FF"/>
      <name val="Calibri"/>
    </font>
    <font>
      <b val="0"/>
      <i/>
      <sz val="9"/>
      <color rgb="FF999999"/>
      <name val="Calibri"/>
    </font>
    <font>
      <b val="0"/>
      <i/>
      <sz val="10"/>
      <color rgb="FF888888"/>
      <name val="Calibri"/>
    </font>
    <font>
      <b val="0"/>
      <i val="0"/>
      <sz val="11"/>
      <color rgb="FF999999"/>
      <name val="Calibri"/>
    </font>
    <font>
      <b/>
      <i val="0"/>
      <sz val="11"/>
      <color rgb="FF1B2A4A"/>
      <name val="Calibri"/>
    </font>
    <font>
      <b/>
      <i val="0"/>
      <sz val="11"/>
      <color rgb="FFFFFFFF"/>
      <name val="Calibri"/>
    </font>
    <font>
      <b/>
      <i val="0"/>
      <sz val="11"/>
      <color auto="1"/>
      <name val="Calibri"/>
    </font>
    <font>
      <b/>
      <i val="0"/>
      <sz val="11"/>
      <color rgb="FF27AE60"/>
      <name val="Calibri"/>
    </font>
    <font>
      <b val="0"/>
      <i val="0"/>
      <sz val="11"/>
      <color rgb="FF0000FF"/>
      <name val="Calibri"/>
    </font>
    <font>
      <b val="0"/>
      <i/>
      <sz val="11"/>
      <color rgb="FF555555"/>
      <name val="Calibri"/>
    </font>
    <font>
      <b/>
      <i val="0"/>
      <sz val="14"/>
      <color rgb="FF27AE60"/>
      <name val="Calibri"/>
    </font>
    <font>
      <b/>
      <i val="0"/>
      <sz val="12"/>
      <color rgb="FF27AE60"/>
      <name val="Calibri"/>
    </font>
    <font>
      <b/>
      <i val="0"/>
      <sz val="11"/>
      <color rgb="FF2E5090"/>
      <name val="Calibri"/>
    </font>
    <font>
      <b/>
      <i val="0"/>
      <sz val="12"/>
      <color rgb="FF1B2A4A"/>
      <name val="Calibri"/>
    </font>
    <font>
      <b val="0"/>
      <i val="0"/>
      <sz val="10"/>
      <color rgb="FF555555"/>
      <name val="Calibri"/>
    </font>
    <font>
      <b/>
      <i val="0"/>
      <sz val="10"/>
      <color rgb="FF27AE60"/>
      <name val="Calibri"/>
    </font>
    <font>
      <b val="0"/>
      <i/>
      <sz val="10"/>
      <color rgb="FFE74C3C"/>
      <name val="Calibri"/>
    </font>
    <font>
      <b/>
      <i val="0"/>
      <sz val="12"/>
      <color rgb="FF666666"/>
      <name val="Calibri"/>
    </font>
    <font>
      <b/>
      <i val="0"/>
      <sz val="16"/>
      <color rgb="FF1B2A4A"/>
      <name val="Calibri"/>
    </font>
    <font>
      <b val="0"/>
      <i val="0"/>
      <sz val="12"/>
      <color theme="1"/>
      <name val="Calibri"/>
    </font>
    <font>
      <b/>
      <i val="0"/>
      <sz val="12"/>
      <color rgb="FF000000"/>
      <name val="Calibri"/>
    </font>
    <font>
      <b/>
      <i val="0"/>
      <sz val="10"/>
      <color theme="1"/>
      <name val="Arial"/>
      <scheme val="minor"/>
    </font>
    <font>
      <b val="0"/>
      <i val="0"/>
      <sz val="10"/>
      <color theme="1"/>
      <name val="Arial"/>
      <scheme val="minor"/>
    </font>
    <font>
      <b val="0"/>
      <i val="0"/>
      <sz val="10"/>
      <color rgb="FF000000"/>
      <name val="Calibri"/>
    </font>
    <font>
      <b val="0"/>
      <i val="0"/>
      <sz val="14"/>
      <color theme="1"/>
      <name val="Calibri"/>
    </font>
    <font>
      <b/>
      <i val="0"/>
      <sz val="12"/>
      <color theme="1"/>
      <name val="Calibri"/>
    </font>
    <font>
      <b val="0"/>
      <i val="0"/>
      <sz val="10"/>
      <color rgb="FF000000"/>
      <name val="Arial"/>
      <scheme val="minor"/>
    </font>
    <font>
      <b val="0"/>
      <i val="0"/>
      <sz val="12"/>
      <color rgb="FF000000"/>
      <name val="Calibri"/>
    </font>
    <font>
      <b/>
      <i val="0"/>
      <sz val="10"/>
      <color theme="1"/>
      <name val="Calibri"/>
    </font>
    <font>
      <b/>
      <i val="0"/>
      <sz val="16"/>
      <color rgb="FF1B2A4A"/>
      <name val="Calibri"/>
    </font>
    <font>
      <b val="0"/>
      <i val="0"/>
      <sz val="11"/>
      <color rgb="FF000000"/>
      <name val="Calibri"/>
    </font>
    <font>
      <b val="0"/>
      <i val="0"/>
      <sz val="10"/>
      <color rgb="FF555555"/>
      <name val="Calibri"/>
    </font>
    <font>
      <b/>
      <i val="0"/>
      <sz val="10"/>
      <color rgb="FFFFFFFF"/>
      <name val="Calibri"/>
    </font>
    <font>
      <b/>
      <i val="0"/>
      <sz val="13"/>
      <color rgb="FF1B2A4A"/>
      <name val="Calibri"/>
    </font>
    <font>
      <b/>
      <i val="0"/>
      <sz val="11"/>
      <color rgb="FF333333"/>
      <name val="Calibri"/>
    </font>
    <font>
      <b/>
      <i val="0"/>
      <sz val="11"/>
      <color rgb="FF000000"/>
      <name val="Calibri"/>
    </font>
    <font>
      <b/>
      <i val="0"/>
      <sz val="11"/>
      <color rgb="FF0000FF"/>
      <name val="Calibri"/>
    </font>
    <font>
      <i/>
      <sz val="9"/>
      <color rgb="FF888888"/>
      <name val="Calibri"/>
    </font>
    <font>
      <b/>
      <i val="0"/>
      <sz val="18"/>
      <color rgb="FF1B2A4A"/>
      <name val="Calibri"/>
    </font>
    <font>
      <b val="0"/>
      <i val="0"/>
      <sz val="11"/>
      <color rgb="FF888888"/>
      <name val="Calibri"/>
    </font>
    <font>
      <b val="0"/>
      <i val="0"/>
      <sz val="10"/>
      <color rgb="FF000000"/>
      <name val="Calibri"/>
    </font>
    <font>
      <b/>
      <i val="0"/>
      <sz val="14"/>
      <color rgb="FF1B2A4A"/>
      <name val="Calibri"/>
    </font>
    <font>
      <b val="0"/>
      <i val="0"/>
      <sz val="10"/>
      <color rgb="FF0000FF"/>
      <name val="Calibri"/>
    </font>
    <font>
      <b/>
      <i val="0"/>
      <sz val="10"/>
      <color rgb="FF000000"/>
      <name val="Calibri"/>
    </font>
    <font>
      <b val="0"/>
      <i val="0"/>
      <sz val="10"/>
      <color rgb="FF008000"/>
      <name val="Calibri"/>
    </font>
    <font>
      <b/>
      <i val="0"/>
      <sz val="10"/>
      <color rgb="FF0000FF"/>
      <name val="Calibri"/>
    </font>
    <font>
      <b/>
      <i val="0"/>
      <sz val="10"/>
      <color rgb="FF008000"/>
      <name val="Calibri"/>
    </font>
    <font>
      <b/>
      <i val="0"/>
      <sz val="10"/>
      <color rgb="FF1B2A4A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E8F8F0"/>
      </patternFill>
    </fill>
    <fill>
      <patternFill patternType="solid">
        <fgColor rgb="FFE8F0FE"/>
      </patternFill>
    </fill>
    <fill>
      <patternFill patternType="solid">
        <fgColor rgb="FFFF9900"/>
      </patternFill>
    </fill>
    <fill>
      <patternFill patternType="solid">
        <fgColor theme="7" tint="0.4"/>
      </patternFill>
    </fill>
    <fill>
      <patternFill patternType="solid">
        <fgColor rgb="FFDBE5F1"/>
      </patternFill>
    </fill>
  </fills>
  <borders count="16">
    <border>
      <left/>
      <right/>
      <top/>
      <bottom/>
    </border>
    <border>
      <left/>
      <right/>
      <top/>
      <bottom/>
    </border>
    <border>
      <left/>
      <right/>
      <top/>
      <bottom style="medium">
        <color rgb="FF1B2A4A"/>
      </bottom>
    </border>
    <border>
      <left/>
      <right/>
      <top/>
      <bottom style="thin">
        <color rgb="FF1B2A4A"/>
      </bottom>
    </border>
    <border>
      <left/>
      <right/>
      <top/>
      <bottom style="thin">
        <color rgb="FFD0D0D0"/>
      </bottom>
    </border>
    <border>
      <left/>
      <right/>
      <top/>
      <bottom style="medium">
        <color rgb="FF27AE60"/>
      </bottom>
    </border>
    <border>
      <left/>
      <right/>
      <top/>
      <bottom style="thin">
        <color rgb="FFC8E6C9"/>
      </bottom>
    </border>
    <border>
      <left style="thick">
        <color rgb="FF27AE60"/>
      </left>
      <right/>
      <top/>
      <bottom style="thin">
        <color rgb="FFD0D0D0"/>
      </bottom>
    </border>
    <border>
      <left/>
      <right/>
      <top/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1B2A4A"/>
      </bottom>
    </border>
    <border>
      <bottom style="double">
        <color rgb="FF1B2A4A"/>
      </bottom>
    </border>
    <border>
      <top style="medium">
        <color rgb="FF1B2A4A"/>
      </top>
    </border>
    <border>
      <bottom style="thin">
        <color rgb="FFD0D0D0"/>
      </bottom>
    </border>
  </borders>
  <cellStyleXfs count="1">
    <xf numFmtId="0" fontId="0" fillId="0" borderId="1" applyFont="1" applyAlignment="1"/>
  </cellStyleXfs>
  <cellXfs count="222">
    <xf numFmtId="0" fontId="0" fillId="0" borderId="1" xfId="0" applyFont="1" applyAlignment="1"/>
    <xf numFmtId="0" fontId="1" fillId="0" borderId="1" xfId="0">
      <alignment vertical="top"/>
    </xf>
    <xf numFmtId="0" fontId="2" fillId="0" borderId="1" xfId="0">
      <alignment vertical="top"/>
    </xf>
    <xf numFmtId="0" fontId="3" fillId="0" borderId="2" xfId="0">
      <alignment vertical="top"/>
    </xf>
    <xf numFmtId="0" fontId="4" fillId="2" borderId="1" xfId="0">
      <alignment horizontal="center" vertical="center"/>
    </xf>
    <xf numFmtId="47819" fontId="5" fillId="3" borderId="1" xfId="0">
      <alignment horizontal="center" vertical="center"/>
    </xf>
    <xf numFmtId="0" fontId="5" fillId="3" borderId="1" xfId="0">
      <alignment horizontal="center" vertical="center"/>
    </xf>
    <xf numFmtId="47820" fontId="6" fillId="3" borderId="1" xfId="0">
      <alignment horizontal="center" vertical="center"/>
    </xf>
    <xf numFmtId="0" fontId="6" fillId="3" borderId="1" xfId="0">
      <alignment horizontal="center" vertical="center"/>
    </xf>
    <xf numFmtId="0" fontId="7" fillId="3" borderId="1" xfId="0">
      <alignment horizontal="center" vertical="center"/>
    </xf>
    <xf numFmtId="9" fontId="5" fillId="3" borderId="1" xfId="0">
      <alignment horizontal="center" vertical="center"/>
    </xf>
    <xf numFmtId="0" fontId="8" fillId="0" borderId="3" xfId="0">
      <alignment horizontal="center" vertical="top"/>
    </xf>
    <xf numFmtId="0" fontId="9" fillId="0" borderId="1" xfId="0">
      <alignment vertical="top"/>
    </xf>
    <xf numFmtId="0" fontId="10" fillId="4" borderId="4" xfId="0">
      <alignment horizontal="center" vertical="center"/>
    </xf>
    <xf numFmtId="47820" fontId="10" fillId="4" borderId="4" xfId="0">
      <alignment horizontal="center" vertical="center"/>
    </xf>
    <xf numFmtId="47819" fontId="10" fillId="4" borderId="4" xfId="0">
      <alignment horizontal="center" vertical="center"/>
    </xf>
    <xf numFmtId="0" fontId="10" fillId="3" borderId="4" xfId="0">
      <alignment horizontal="center" vertical="center"/>
    </xf>
    <xf numFmtId="47820" fontId="10" fillId="3" borderId="4" xfId="0">
      <alignment horizontal="center" vertical="center"/>
    </xf>
    <xf numFmtId="47819" fontId="10" fillId="3" borderId="4" xfId="0">
      <alignment horizontal="center" vertical="center"/>
    </xf>
    <xf numFmtId="0" fontId="11" fillId="4" borderId="4" xfId="0">
      <alignment vertical="top"/>
    </xf>
    <xf numFmtId="0" fontId="3" fillId="4" borderId="4" xfId="0">
      <alignment vertical="top"/>
    </xf>
    <xf numFmtId="9" fontId="12" fillId="4" borderId="4" xfId="0">
      <alignment vertical="top"/>
    </xf>
    <xf numFmtId="0" fontId="11" fillId="3" borderId="4" xfId="0">
      <alignment vertical="top"/>
    </xf>
    <xf numFmtId="0" fontId="3" fillId="3" borderId="4" xfId="0">
      <alignment vertical="top"/>
    </xf>
    <xf numFmtId="47820" fontId="12" fillId="3" borderId="4" xfId="0">
      <alignment vertical="top"/>
    </xf>
    <xf numFmtId="0" fontId="13" fillId="3" borderId="4" xfId="0">
      <alignment vertical="top"/>
    </xf>
    <xf numFmtId="47820" fontId="10" fillId="4" borderId="4" xfId="0">
      <alignment vertical="top"/>
    </xf>
    <xf numFmtId="0" fontId="13" fillId="4" borderId="4" xfId="0">
      <alignment vertical="top"/>
    </xf>
    <xf numFmtId="47820" fontId="10" fillId="3" borderId="4" xfId="0">
      <alignment vertical="top"/>
    </xf>
    <xf numFmtId="47828" fontId="10" fillId="4" borderId="4" xfId="0">
      <alignment horizontal="center" vertical="center"/>
    </xf>
    <xf numFmtId="47829" fontId="10" fillId="4" borderId="4" xfId="0">
      <alignment horizontal="center" vertical="center"/>
    </xf>
    <xf numFmtId="47828" fontId="10" fillId="3" borderId="4" xfId="0">
      <alignment horizontal="center" vertical="center"/>
    </xf>
    <xf numFmtId="47829" fontId="10" fillId="3" borderId="4" xfId="0">
      <alignment horizontal="center" vertical="center"/>
    </xf>
    <xf numFmtId="0" fontId="14" fillId="0" borderId="1" xfId="0">
      <alignment vertical="top"/>
    </xf>
    <xf numFmtId="0" fontId="10" fillId="4" borderId="4" xfId="0">
      <alignment horizontal="left" vertical="center"/>
    </xf>
    <xf numFmtId="47832" fontId="12" fillId="4" borderId="4" xfId="0">
      <alignment horizontal="center" vertical="center"/>
    </xf>
    <xf numFmtId="0" fontId="10" fillId="3" borderId="4" xfId="0">
      <alignment horizontal="left" vertical="center"/>
    </xf>
    <xf numFmtId="47832" fontId="12" fillId="3" borderId="4" xfId="0">
      <alignment horizontal="center" vertical="center"/>
    </xf>
    <xf numFmtId="0" fontId="15" fillId="3" borderId="4" xfId="0">
      <alignment horizontal="left" vertical="top"/>
    </xf>
    <xf numFmtId="0" fontId="10" fillId="3" borderId="4" xfId="0">
      <alignment horizontal="center" vertical="top"/>
    </xf>
    <xf numFmtId="0" fontId="16" fillId="5" borderId="4" xfId="0">
      <alignment horizontal="left" vertical="top"/>
    </xf>
    <xf numFmtId="3" fontId="12" fillId="5" borderId="4" xfId="0">
      <alignment horizontal="center" vertical="top"/>
    </xf>
    <xf numFmtId="3" fontId="0" fillId="0" borderId="1" xfId="0"/>
    <xf numFmtId="0" fontId="10" fillId="0" borderId="4" xfId="0">
      <alignment horizontal="left" vertical="top"/>
    </xf>
    <xf numFmtId="0" fontId="10" fillId="0" borderId="4" xfId="0">
      <alignment horizontal="center" vertical="top"/>
    </xf>
    <xf numFmtId="0" fontId="10" fillId="3" borderId="4" xfId="0">
      <alignment horizontal="left" vertical="top"/>
    </xf>
    <xf numFmtId="47829" fontId="10" fillId="3" borderId="4" xfId="0">
      <alignment horizontal="center" vertical="top"/>
    </xf>
    <xf numFmtId="0" fontId="10" fillId="4" borderId="4" xfId="0">
      <alignment horizontal="left" vertical="top"/>
    </xf>
    <xf numFmtId="0" fontId="10" fillId="4" borderId="4" xfId="0">
      <alignment horizontal="center" vertical="top"/>
    </xf>
    <xf numFmtId="0" fontId="17" fillId="2" borderId="1" xfId="0">
      <alignment horizontal="left" vertical="top"/>
    </xf>
    <xf numFmtId="0" fontId="17" fillId="2" borderId="1" xfId="0">
      <alignment horizontal="center" vertical="top"/>
    </xf>
    <xf numFmtId="47828" fontId="10" fillId="4" borderId="4" xfId="0">
      <alignment horizontal="center" vertical="top"/>
    </xf>
    <xf numFmtId="47828" fontId="10" fillId="3" borderId="4" xfId="0">
      <alignment horizontal="center" vertical="top"/>
    </xf>
    <xf numFmtId="0" fontId="18" fillId="3" borderId="4" xfId="0">
      <alignment horizontal="left" vertical="top"/>
    </xf>
    <xf numFmtId="47828" fontId="18" fillId="3" borderId="4" xfId="0">
      <alignment horizontal="center" vertical="top"/>
    </xf>
    <xf numFmtId="0" fontId="17" fillId="2" borderId="4" xfId="0">
      <alignment horizontal="left" vertical="top"/>
    </xf>
    <xf numFmtId="47828" fontId="17" fillId="2" borderId="4" xfId="0">
      <alignment horizontal="center" vertical="top"/>
    </xf>
    <xf numFmtId="47819" fontId="10" fillId="0" borderId="4" xfId="0">
      <alignment horizontal="center" vertical="top"/>
    </xf>
    <xf numFmtId="0" fontId="10" fillId="5" borderId="4" xfId="0">
      <alignment horizontal="left" vertical="top"/>
    </xf>
    <xf numFmtId="47828" fontId="10" fillId="5" borderId="4" xfId="0">
      <alignment horizontal="center" vertical="top"/>
    </xf>
    <xf numFmtId="0" fontId="19" fillId="4" borderId="2" xfId="0">
      <alignment horizontal="left" vertical="top"/>
    </xf>
    <xf numFmtId="47828" fontId="19" fillId="4" borderId="2" xfId="0">
      <alignment horizontal="center" vertical="top"/>
    </xf>
    <xf numFmtId="47820" fontId="20" fillId="4" borderId="4" xfId="0">
      <alignment horizontal="center" vertical="top"/>
    </xf>
    <xf numFmtId="47820" fontId="20" fillId="3" borderId="4" xfId="0">
      <alignment horizontal="center" vertical="top"/>
    </xf>
    <xf numFmtId="1" fontId="20" fillId="4" borderId="4" xfId="0">
      <alignment horizontal="center" vertical="top"/>
    </xf>
    <xf numFmtId="1" fontId="20" fillId="3" borderId="4" xfId="0">
      <alignment horizontal="center" vertical="top"/>
    </xf>
    <xf numFmtId="9" fontId="20" fillId="4" borderId="4" xfId="0">
      <alignment horizontal="center" vertical="top"/>
    </xf>
    <xf numFmtId="0" fontId="21" fillId="3" borderId="4" xfId="0">
      <alignment horizontal="left" vertical="bottom"/>
    </xf>
    <xf numFmtId="0" fontId="20" fillId="3" borderId="4" xfId="0">
      <alignment horizontal="center" vertical="bottom"/>
    </xf>
    <xf numFmtId="0" fontId="21" fillId="0" borderId="4" xfId="0">
      <alignment horizontal="left" vertical="bottom"/>
    </xf>
    <xf numFmtId="47820" fontId="20" fillId="0" borderId="4" xfId="0">
      <alignment horizontal="center" vertical="bottom"/>
    </xf>
    <xf numFmtId="0" fontId="19" fillId="6" borderId="5" xfId="0">
      <alignment horizontal="left" vertical="top"/>
    </xf>
    <xf numFmtId="47828" fontId="18" fillId="6" borderId="5" xfId="0">
      <alignment horizontal="center" vertical="top"/>
    </xf>
    <xf numFmtId="0" fontId="18" fillId="3" borderId="3" xfId="0">
      <alignment horizontal="left" vertical="top"/>
    </xf>
    <xf numFmtId="47828" fontId="18" fillId="3" borderId="3" xfId="0">
      <alignment horizontal="center" vertical="top"/>
    </xf>
    <xf numFmtId="0" fontId="22" fillId="0" borderId="1" xfId="0">
      <alignment vertical="top"/>
    </xf>
    <xf numFmtId="0" fontId="23" fillId="6" borderId="5" xfId="0">
      <alignment horizontal="left" vertical="top"/>
    </xf>
    <xf numFmtId="47828" fontId="23" fillId="6" borderId="5" xfId="0">
      <alignment horizontal="center" vertical="top"/>
    </xf>
    <xf numFmtId="0" fontId="19" fillId="0" borderId="1" xfId="0">
      <alignment vertical="top"/>
    </xf>
    <xf numFmtId="0" fontId="10" fillId="6" borderId="4" xfId="0">
      <alignment horizontal="left" vertical="top"/>
    </xf>
    <xf numFmtId="47828" fontId="10" fillId="6" borderId="4" xfId="0">
      <alignment horizontal="center" vertical="top"/>
    </xf>
    <xf numFmtId="0" fontId="24" fillId="7" borderId="2" xfId="0">
      <alignment horizontal="left" vertical="top"/>
    </xf>
    <xf numFmtId="47828" fontId="24" fillId="7" borderId="2" xfId="0">
      <alignment horizontal="center" vertical="top"/>
    </xf>
    <xf numFmtId="0" fontId="18" fillId="6" borderId="4" xfId="0">
      <alignment horizontal="left" vertical="top"/>
    </xf>
    <xf numFmtId="47828" fontId="18" fillId="6" borderId="4" xfId="0">
      <alignment horizontal="center" vertical="top"/>
    </xf>
    <xf numFmtId="0" fontId="25" fillId="0" borderId="1" xfId="0">
      <alignment vertical="top"/>
    </xf>
    <xf numFmtId="0" fontId="3" fillId="0" borderId="5" xfId="0">
      <alignment vertical="top"/>
    </xf>
    <xf numFmtId="47819" fontId="10" fillId="3" borderId="4" xfId="0">
      <alignment horizontal="center" vertical="top"/>
    </xf>
    <xf numFmtId="47819" fontId="10" fillId="5" borderId="4" xfId="0">
      <alignment horizontal="center" vertical="top"/>
    </xf>
    <xf numFmtId="47829" fontId="10" fillId="5" borderId="4" xfId="0">
      <alignment horizontal="center" vertical="top"/>
    </xf>
    <xf numFmtId="47819" fontId="18" fillId="6" borderId="4" xfId="0">
      <alignment horizontal="center" vertical="top"/>
    </xf>
    <xf numFmtId="47829" fontId="18" fillId="6" borderId="4" xfId="0">
      <alignment horizontal="center" vertical="top"/>
    </xf>
    <xf numFmtId="0" fontId="16" fillId="0" borderId="1" xfId="0">
      <alignment vertical="top"/>
    </xf>
    <xf numFmtId="47828" fontId="16" fillId="0" borderId="1" xfId="0">
      <alignment vertical="top"/>
    </xf>
    <xf numFmtId="0" fontId="16" fillId="6" borderId="4" xfId="0">
      <alignment horizontal="left" vertical="top"/>
    </xf>
    <xf numFmtId="3" fontId="12" fillId="6" borderId="4" xfId="0">
      <alignment horizontal="center" vertical="top"/>
    </xf>
    <xf numFmtId="0" fontId="3" fillId="0" borderId="3" xfId="0">
      <alignment vertical="top"/>
    </xf>
    <xf numFmtId="0" fontId="19" fillId="6" borderId="1" xfId="0">
      <alignment horizontal="right" vertical="top"/>
    </xf>
    <xf numFmtId="0" fontId="11" fillId="6" borderId="6" xfId="0">
      <alignment vertical="top" wrapText="1"/>
    </xf>
    <xf numFmtId="47857" fontId="10" fillId="3" borderId="4" xfId="0">
      <alignment horizontal="center" vertical="center"/>
    </xf>
    <xf numFmtId="47820" fontId="17" fillId="2" borderId="1" xfId="0">
      <alignment horizontal="center" vertical="top"/>
    </xf>
    <xf numFmtId="9" fontId="10" fillId="4" borderId="4" xfId="0">
      <alignment horizontal="center" vertical="center"/>
    </xf>
    <xf numFmtId="0" fontId="26" fillId="4" borderId="4" xfId="0">
      <alignment vertical="center" wrapText="1"/>
    </xf>
    <xf numFmtId="9" fontId="10" fillId="3" borderId="4" xfId="0">
      <alignment horizontal="center" vertical="center"/>
    </xf>
    <xf numFmtId="0" fontId="26" fillId="3" borderId="4" xfId="0">
      <alignment vertical="center" wrapText="1"/>
    </xf>
    <xf numFmtId="0" fontId="19" fillId="6" borderId="7" xfId="0">
      <alignment horizontal="left" vertical="center"/>
    </xf>
    <xf numFmtId="47820" fontId="10" fillId="6" borderId="7" xfId="0">
      <alignment horizontal="center" vertical="center"/>
    </xf>
    <xf numFmtId="9" fontId="10" fillId="6" borderId="7" xfId="0">
      <alignment horizontal="center" vertical="center"/>
    </xf>
    <xf numFmtId="0" fontId="26" fillId="6" borderId="7" xfId="0">
      <alignment vertical="center" wrapText="1"/>
    </xf>
    <xf numFmtId="0" fontId="27" fillId="0" borderId="1" xfId="0">
      <alignment vertical="top"/>
    </xf>
    <xf numFmtId="9" fontId="17" fillId="2" borderId="1" xfId="0">
      <alignment horizontal="center" vertical="top"/>
    </xf>
    <xf numFmtId="0" fontId="28" fillId="2" borderId="1" xfId="0">
      <alignment horizontal="center" vertical="top" wrapText="1"/>
    </xf>
    <xf numFmtId="0" fontId="19" fillId="6" borderId="6" xfId="0">
      <alignment horizontal="right" vertical="top"/>
    </xf>
    <xf numFmtId="0" fontId="29" fillId="0" borderId="1" xfId="0">
      <alignment vertical="top"/>
    </xf>
    <xf numFmtId="0" fontId="17" fillId="2" borderId="8" xfId="0">
      <alignment horizontal="center" vertical="center"/>
    </xf>
    <xf numFmtId="47828" fontId="10" fillId="4" borderId="4" xfId="0">
      <alignment vertical="center"/>
    </xf>
    <xf numFmtId="47828" fontId="18" fillId="4" borderId="4" xfId="0">
      <alignment vertical="center"/>
    </xf>
    <xf numFmtId="47828" fontId="10" fillId="3" borderId="4" xfId="0">
      <alignment vertical="center"/>
    </xf>
    <xf numFmtId="47828" fontId="18" fillId="3" borderId="4" xfId="0">
      <alignment vertical="center"/>
    </xf>
    <xf numFmtId="0" fontId="30" fillId="0" borderId="1" xfId="0">
      <alignment vertical="top"/>
    </xf>
    <xf numFmtId="0" fontId="17" fillId="2" borderId="1" xfId="0">
      <alignment horizontal="center" vertical="center"/>
    </xf>
    <xf numFmtId="0" fontId="17" fillId="2" borderId="8" xfId="0">
      <alignment horizontal="left" vertical="top"/>
    </xf>
    <xf numFmtId="0" fontId="17" fillId="2" borderId="8" xfId="0">
      <alignment horizontal="center" vertical="top"/>
    </xf>
    <xf numFmtId="0" fontId="28" fillId="0" borderId="1" xfId="0">
      <alignment vertical="top"/>
    </xf>
    <xf numFmtId="0" fontId="17" fillId="2" borderId="4" xfId="0">
      <alignment horizontal="left" vertical="center"/>
    </xf>
    <xf numFmtId="0" fontId="17" fillId="2" borderId="4" xfId="0">
      <alignment horizontal="center" vertical="center"/>
    </xf>
    <xf numFmtId="0" fontId="16" fillId="0" borderId="1" xfId="0">
      <alignment horizontal="right" vertical="top"/>
    </xf>
    <xf numFmtId="0" fontId="11" fillId="0" borderId="1" xfId="0">
      <alignment vertical="top" wrapText="1"/>
    </xf>
    <xf numFmtId="0" fontId="31" fillId="0" borderId="1" xfId="0">
      <alignment horizontal="center" vertical="bottom" wrapText="1"/>
    </xf>
    <xf numFmtId="0" fontId="31" fillId="0" borderId="1" xfId="0">
      <alignment horizontal="center" vertical="bottom"/>
    </xf>
    <xf numFmtId="0" fontId="31" fillId="0" borderId="1" xfId="0"/>
    <xf numFmtId="0" fontId="31" fillId="8" borderId="9" xfId="0">
      <alignment horizontal="center" vertical="bottom" wrapText="1"/>
    </xf>
    <xf numFmtId="0" fontId="32" fillId="8" borderId="9" xfId="0">
      <alignment horizontal="center" vertical="bottom" wrapText="1"/>
    </xf>
    <xf numFmtId="0" fontId="0" fillId="9" borderId="1" xfId="0"/>
    <xf numFmtId="0" fontId="33" fillId="8" borderId="9" xfId="0">
      <alignment vertical="bottom" wrapText="1"/>
    </xf>
    <xf numFmtId="0" fontId="34" fillId="8" borderId="9" xfId="0">
      <alignment horizontal="center" vertical="bottom" wrapText="1"/>
    </xf>
    <xf numFmtId="0" fontId="0" fillId="0" borderId="1" xfId="0"/>
    <xf numFmtId="0" fontId="31" fillId="4" borderId="9" xfId="0">
      <alignment horizontal="center" vertical="bottom" wrapText="1"/>
    </xf>
    <xf numFmtId="3" fontId="31" fillId="4" borderId="9" xfId="0">
      <alignment horizontal="center" vertical="bottom" wrapText="1"/>
    </xf>
    <xf numFmtId="47820" fontId="31" fillId="4" borderId="9" xfId="0">
      <alignment horizontal="center" vertical="bottom" wrapText="1"/>
    </xf>
    <xf numFmtId="0" fontId="34" fillId="0" borderId="9" xfId="0"/>
    <xf numFmtId="0" fontId="35" fillId="0" borderId="9" xfId="0"/>
    <xf numFmtId="0" fontId="34" fillId="0" borderId="9" xfId="0">
      <alignment horizontal="center" vertical="bottom"/>
    </xf>
    <xf numFmtId="0" fontId="31" fillId="4" borderId="1" xfId="0"/>
    <xf numFmtId="0" fontId="34" fillId="4" borderId="1" xfId="0"/>
    <xf numFmtId="0" fontId="31" fillId="0" borderId="9" xfId="0">
      <alignment horizontal="center" vertical="bottom" wrapText="1"/>
    </xf>
    <xf numFmtId="3" fontId="31" fillId="0" borderId="9" xfId="0">
      <alignment horizontal="center" vertical="bottom" wrapText="1"/>
    </xf>
    <xf numFmtId="47820" fontId="31" fillId="0" borderId="9" xfId="0">
      <alignment horizontal="center" vertical="bottom" wrapText="1"/>
    </xf>
    <xf numFmtId="0" fontId="36" fillId="8" borderId="9" xfId="0">
      <alignment horizontal="center" vertical="bottom" wrapText="1"/>
    </xf>
    <xf numFmtId="0" fontId="37" fillId="0" borderId="1" xfId="0">
      <alignment horizontal="center" vertical="bottom" wrapText="1"/>
    </xf>
    <xf numFmtId="0" fontId="37" fillId="0" borderId="9" xfId="0">
      <alignment horizontal="center" vertical="bottom" wrapText="1"/>
    </xf>
    <xf numFmtId="3" fontId="37" fillId="4" borderId="9" xfId="0">
      <alignment horizontal="center" vertical="bottom" wrapText="1"/>
    </xf>
    <xf numFmtId="3" fontId="37" fillId="0" borderId="9" xfId="0">
      <alignment horizontal="center" vertical="bottom" wrapText="1"/>
    </xf>
    <xf numFmtId="0" fontId="37" fillId="0" borderId="1" xfId="0"/>
    <xf numFmtId="0" fontId="33" fillId="0" borderId="1" xfId="0"/>
    <xf numFmtId="0" fontId="40" fillId="0" borderId="9" xfId="0">
      <alignment horizontal="center" vertical="bottom" wrapText="1"/>
    </xf>
    <xf numFmtId="3" fontId="37" fillId="4" borderId="9" xfId="0">
      <alignment horizontal="right" vertical="bottom" wrapText="1"/>
    </xf>
    <xf numFmtId="3" fontId="37" fillId="0" borderId="9" xfId="0">
      <alignment horizontal="right" vertical="bottom" wrapText="1"/>
    </xf>
    <xf numFmtId="0" fontId="37" fillId="8" borderId="10" xfId="0">
      <alignment horizontal="center" vertical="bottom" wrapText="1"/>
    </xf>
    <xf numFmtId="0" fontId="38" fillId="0" borderId="11" xfId="0"/>
    <xf numFmtId="10" fontId="31" fillId="0" borderId="1" xfId="0">
      <alignment horizontal="center" vertical="bottom" wrapText="1"/>
    </xf>
    <xf numFmtId="0" fontId="0" fillId="0" borderId="1" xfId="0">
      <alignment vertical="bottom" wrapText="1"/>
    </xf>
    <xf numFmtId="0" fontId="39" fillId="0" borderId="1" xfId="0"/>
    <xf numFmtId="0" fontId="0" fillId="0" borderId="1" xfId="0">
      <alignment vertical="top"/>
    </xf>
    <xf numFmtId="0" fontId="31" fillId="0" borderId="1" xfId="0"/>
    <xf numFmtId="0" fontId="0" fillId="0" borderId="1" xfId="0"/>
    <xf numFmtId="0" fontId="34" fillId="0" borderId="1" xfId="0">
      <alignment horizontal="center" vertical="bottom"/>
    </xf>
    <xf numFmtId="0" fontId="41" fillId="0" borderId="0" xfId="0">
      <alignment horizontal="center" vertical="center"/>
    </xf>
    <xf numFmtId="0" fontId="42" fillId="0" borderId="0" xfId="0">
      <alignment vertical="center"/>
    </xf>
    <xf numFmtId="0" fontId="43" fillId="0" borderId="0" xfId="0">
      <alignment horizontal="center" vertical="center" wrapText="1"/>
    </xf>
    <xf numFmtId="0" fontId="44" fillId="2" borderId="12" xfId="0">
      <alignment horizontal="left" vertical="center"/>
    </xf>
    <xf numFmtId="0" fontId="44" fillId="2" borderId="12" xfId="0">
      <alignment horizontal="right" vertical="center"/>
    </xf>
    <xf numFmtId="0" fontId="45" fillId="0" borderId="0" xfId="0">
      <alignment vertical="center"/>
    </xf>
    <xf numFmtId="0" fontId="46" fillId="0" borderId="0" xfId="0">
      <alignment horizontal="left" vertical="center" indent="1"/>
    </xf>
    <xf numFmtId="0" fontId="46" fillId="0" borderId="0" xfId="0">
      <alignment horizontal="left" vertical="center" indent="2"/>
    </xf>
    <xf numFmtId="0" fontId="42" fillId="0" borderId="0" xfId="0">
      <alignment horizontal="left" vertical="center" indent="3"/>
    </xf>
    <xf numFmtId="48482" fontId="42" fillId="0" borderId="0" xfId="0">
      <alignment horizontal="right" vertical="center"/>
    </xf>
    <xf numFmtId="0" fontId="42" fillId="0" borderId="0" xfId="0">
      <alignment horizontal="right" vertical="center"/>
    </xf>
    <xf numFmtId="0" fontId="47" fillId="0" borderId="13" xfId="0">
      <alignment vertical="center"/>
    </xf>
    <xf numFmtId="48482" fontId="47" fillId="0" borderId="13" xfId="0">
      <alignment horizontal="right" vertical="center"/>
    </xf>
    <xf numFmtId="0" fontId="42" fillId="0" borderId="0" xfId="0">
      <alignment horizontal="left" vertical="center" indent="4"/>
    </xf>
    <xf numFmtId="47820" fontId="42" fillId="0" borderId="0" xfId="0">
      <alignment horizontal="right" vertical="center"/>
    </xf>
    <xf numFmtId="0" fontId="47" fillId="3" borderId="14" xfId="0">
      <alignment vertical="center"/>
    </xf>
    <xf numFmtId="4" fontId="48" fillId="3" borderId="14" xfId="0">
      <alignment horizontal="right" vertical="center"/>
    </xf>
    <xf numFmtId="0" fontId="49" fillId="0" borderId="0" xfId="0">
      <alignment vertical="center" wrapText="1"/>
    </xf>
    <xf numFmtId="0" fontId="49" fillId="0" borderId="0" xfId="0">
      <alignment vertical="center"/>
    </xf>
    <xf numFmtId="0" fontId="50" fillId="0" borderId="0" xfId="0">
      <alignment horizontal="left" vertical="center"/>
    </xf>
    <xf numFmtId="0" fontId="51" fillId="0" borderId="0" xfId="0">
      <alignment vertical="center"/>
    </xf>
    <xf numFmtId="0" fontId="51" fillId="0" borderId="0" xfId="0">
      <alignment vertical="center" wrapText="1"/>
    </xf>
    <xf numFmtId="0" fontId="52" fillId="0" borderId="0" xfId="0">
      <alignment vertical="center"/>
    </xf>
    <xf numFmtId="0" fontId="53" fillId="0" borderId="0" xfId="0">
      <alignment vertical="center"/>
    </xf>
    <xf numFmtId="0" fontId="44" fillId="2" borderId="12" xfId="0">
      <alignment horizontal="center" vertical="center"/>
    </xf>
    <xf numFmtId="0" fontId="52" fillId="0" borderId="15" xfId="0">
      <alignment vertical="center"/>
    </xf>
    <xf numFmtId="47820" fontId="54" fillId="0" borderId="15" xfId="0">
      <alignment horizontal="right" vertical="center"/>
    </xf>
    <xf numFmtId="47819" fontId="54" fillId="0" borderId="15" xfId="0">
      <alignment horizontal="right" vertical="center"/>
    </xf>
    <xf numFmtId="0" fontId="55" fillId="3" borderId="15" xfId="0">
      <alignment vertical="center"/>
    </xf>
    <xf numFmtId="47820" fontId="55" fillId="3" borderId="15" xfId="0">
      <alignment horizontal="right" vertical="center"/>
    </xf>
    <xf numFmtId="4" fontId="56" fillId="0" borderId="15" xfId="0">
      <alignment horizontal="right" vertical="center"/>
    </xf>
    <xf numFmtId="3" fontId="56" fillId="0" borderId="15" xfId="0">
      <alignment horizontal="right" vertical="center"/>
    </xf>
    <xf numFmtId="47820" fontId="56" fillId="0" borderId="15" xfId="0">
      <alignment horizontal="right" vertical="center"/>
    </xf>
    <xf numFmtId="47819" fontId="54" fillId="0" borderId="15" xfId="0">
      <alignment vertical="center"/>
    </xf>
    <xf numFmtId="47820" fontId="52" fillId="0" borderId="15" xfId="0">
      <alignment horizontal="right" vertical="center"/>
    </xf>
    <xf numFmtId="47819" fontId="57" fillId="10" borderId="15" xfId="0">
      <alignment vertical="center"/>
    </xf>
    <xf numFmtId="47820" fontId="55" fillId="10" borderId="15" xfId="0">
      <alignment horizontal="right" vertical="center"/>
    </xf>
    <xf numFmtId="0" fontId="55" fillId="10" borderId="15" xfId="0">
      <alignment vertical="center"/>
    </xf>
    <xf numFmtId="0" fontId="52" fillId="0" borderId="15" xfId="0">
      <alignment vertical="top" wrapText="1"/>
    </xf>
    <xf numFmtId="0" fontId="55" fillId="0" borderId="13" xfId="0">
      <alignment vertical="center"/>
    </xf>
    <xf numFmtId="47819" fontId="55" fillId="0" borderId="13" xfId="0">
      <alignment vertical="center"/>
    </xf>
    <xf numFmtId="47820" fontId="55" fillId="0" borderId="13" xfId="0">
      <alignment horizontal="right" vertical="center"/>
    </xf>
    <xf numFmtId="0" fontId="58" fillId="0" borderId="13" xfId="0">
      <alignment horizontal="center" vertical="center"/>
    </xf>
    <xf numFmtId="47820" fontId="52" fillId="0" borderId="0" xfId="0">
      <alignment horizontal="right" vertical="center"/>
    </xf>
    <xf numFmtId="3" fontId="56" fillId="0" borderId="0" xfId="0">
      <alignment horizontal="right" vertical="center"/>
    </xf>
    <xf numFmtId="47820" fontId="56" fillId="0" borderId="0" xfId="0">
      <alignment horizontal="right" vertical="center"/>
    </xf>
    <xf numFmtId="47819" fontId="56" fillId="0" borderId="0" xfId="0">
      <alignment horizontal="right" vertical="center"/>
    </xf>
    <xf numFmtId="47819" fontId="52" fillId="0" borderId="0" xfId="0">
      <alignment vertical="center"/>
    </xf>
    <xf numFmtId="47820" fontId="52" fillId="0" borderId="0" xfId="0">
      <alignment vertical="center"/>
    </xf>
    <xf numFmtId="47832" fontId="54" fillId="0" borderId="0" xfId="0">
      <alignment vertical="center"/>
    </xf>
    <xf numFmtId="48620" fontId="52" fillId="0" borderId="0" xfId="0">
      <alignment horizontal="right" vertical="center"/>
    </xf>
    <xf numFmtId="47829" fontId="52" fillId="0" borderId="0" xfId="0">
      <alignment horizontal="right" vertical="center"/>
    </xf>
    <xf numFmtId="47832" fontId="52" fillId="0" borderId="0" xfId="0">
      <alignment vertical="center"/>
    </xf>
    <xf numFmtId="0" fontId="59" fillId="0" borderId="0" xfId="0">
      <alignment vertical="center"/>
    </xf>
    <xf numFmtId="0" fontId="43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Relationship Id="rId16" Type="http://schemas.openxmlformats.org/officeDocument/2006/relationships/theme" Target="theme/theme1.xml"/><Relationship Id="rId1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Net Income: Conservative vs Moderate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Conservative</c:f>
            </c:strRef>
          </c:tx>
          <c:spPr>
            <a:solidFill>
              <a:srgbClr val="95a5a6"/>
            </a:solidFill>
          </c:spPr>
          <c:cat>
            <c:strRef>
              <c:f>'Moderate-Growth'!$C$41:$H$41</c:f>
            </c:strRef>
          </c:cat>
          <c:val>
            <c:numRef>
              <c:f>'Moderate-Growth'!$C$42:$H$42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Moderate</c:f>
            </c:strRef>
          </c:tx>
          <c:spPr>
            <a:solidFill>
              <a:srgbClr val="f39c12"/>
            </a:solidFill>
          </c:spPr>
          <c:cat>
            <c:strRef>
              <c:f>'Moderate-Growth'!$C$41:$H$41</c:f>
            </c:strRef>
          </c:cat>
          <c:val>
            <c:numRef>
              <c:f>'Moderate-Growth'!$C$43:$H$43</c:f>
              <c:numCache>
                <c:formatCode>#,##,##0;(#,##,##0)</c:formatCode>
              </c:numCache>
            </c:numRef>
          </c:val>
          <c:extLst/>
          <c:invertIfNegative val="0"/>
        </c:ser>
        <c:axId val="85758935"/>
        <c:axId val="43290057"/>
        <c:barDir val="col"/>
        <c:grouping val="clustered"/>
        <c:gapWidth val="150"/>
        <c:varyColors val="0"/>
        <c:overlap val="-27"/>
      </c:barChart>
      <c:catAx axisType="0">
        <c:axId val="85758935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3290057"/>
      </c:catAx>
      <c:valAx axisType="3">
        <c:axId val="43290057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#,##,##0" sourceLinked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85758935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Sports Complex — Revenue &amp; Profitability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Total Revenue</c:f>
            </c:strRef>
          </c:tx>
          <c:spPr>
            <a:solidFill>
              <a:srgbClr val="27ae60"/>
            </a:solidFill>
          </c:spPr>
          <c:cat>
            <c:strRef>
              <c:f>'Sports-Complex'!$C$37:$H$37</c:f>
            </c:strRef>
          </c:cat>
          <c:val>
            <c:numRef>
              <c:f>'Sports-Complex'!$C$38:$H$38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Operating Costs</c:f>
            </c:strRef>
          </c:tx>
          <c:spPr>
            <a:solidFill>
              <a:srgbClr val="e74c3c"/>
            </a:solidFill>
          </c:spPr>
          <c:cat>
            <c:strRef>
              <c:f>'Sports-Complex'!$C$37:$H$37</c:f>
            </c:strRef>
          </c:cat>
          <c:val>
            <c:numRef>
              <c:f>'Sports-Complex'!$C$39:$H$39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Net Profit</c:f>
            </c:strRef>
          </c:tx>
          <c:spPr>
            <a:solidFill>
              <a:srgbClr val="2e5090"/>
            </a:solidFill>
          </c:spPr>
          <c:cat>
            <c:strRef>
              <c:f>'Sports-Complex'!$C$37:$H$37</c:f>
            </c:strRef>
          </c:cat>
          <c:val>
            <c:numRef>
              <c:f>'Sports-Complex'!$C$40:$H$40</c:f>
              <c:numCache>
                <c:formatCode>#,##,##0;(#,##,##0)</c:formatCode>
              </c:numCache>
            </c:numRef>
          </c:val>
          <c:extLst/>
          <c:invertIfNegative val="0"/>
        </c:ser>
        <c:axId val="23374837"/>
        <c:axId val="20060648"/>
        <c:barDir val="col"/>
        <c:grouping val="clustered"/>
        <c:gapWidth val="150"/>
        <c:varyColors val="0"/>
        <c:overlap val="-27"/>
      </c:barChart>
      <c:catAx axisType="0">
        <c:axId val="23374837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20060648"/>
      </c:catAx>
      <c:valAx axisType="3">
        <c:axId val="20060648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#,##,##0" sourceLinked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3374837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Net Income: Conservative vs Moderate vs Bullish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Conservative</c:f>
            </c:strRef>
          </c:tx>
          <c:spPr>
            <a:solidFill>
              <a:srgbClr val="95a5a6"/>
            </a:solidFill>
          </c:spPr>
          <c:cat>
            <c:strRef>
              <c:f>'Bullish-Growth'!$C$41:$H$41</c:f>
            </c:strRef>
          </c:cat>
          <c:val>
            <c:numRef>
              <c:f>'Bullish-Growth'!$C$42:$H$42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Moderate</c:f>
            </c:strRef>
          </c:tx>
          <c:spPr>
            <a:solidFill>
              <a:srgbClr val="f39c12"/>
            </a:solidFill>
          </c:spPr>
          <c:cat>
            <c:strRef>
              <c:f>'Bullish-Growth'!$C$41:$H$41</c:f>
            </c:strRef>
          </c:cat>
          <c:val>
            <c:numRef>
              <c:f>'Bullish-Growth'!$C$43:$H$43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Bullish</c:f>
            </c:strRef>
          </c:tx>
          <c:spPr>
            <a:solidFill>
              <a:srgbClr val="27ae60"/>
            </a:solidFill>
          </c:spPr>
          <c:cat>
            <c:strRef>
              <c:f>'Bullish-Growth'!$C$41:$H$41</c:f>
            </c:strRef>
          </c:cat>
          <c:val>
            <c:numRef>
              <c:f>'Bullish-Growth'!$C$44:$H$44</c:f>
              <c:numCache>
                <c:formatCode>#,##,##0;(#,##,##0)</c:formatCode>
              </c:numCache>
            </c:numRef>
          </c:val>
          <c:extLst/>
          <c:invertIfNegative val="0"/>
        </c:ser>
        <c:axId val="28034891"/>
        <c:axId val="52451093"/>
        <c:barDir val="col"/>
        <c:grouping val="clustered"/>
        <c:gapWidth val="150"/>
        <c:varyColors val="0"/>
        <c:overlap val="-27"/>
      </c:barChart>
      <c:catAx axisType="0">
        <c:axId val="28034891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52451093"/>
      </c:catAx>
      <c:valAx axisType="3">
        <c:axId val="5245109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#,##,##0" sourceLinked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8034891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Revenue vs Expenses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Annual Collection</c:f>
            </c:strRef>
          </c:tx>
          <c:spPr>
            <a:solidFill>
              <a:srgbClr val="2e5090"/>
            </a:solidFill>
          </c:spPr>
          <c:cat>
            <c:strRef>
              <c:f>'Financial-Summary'!$B$6:$B$11</c:f>
            </c:strRef>
          </c:cat>
          <c:val>
            <c:numRef>
              <c:f>'Financial-Summary'!$E$6:$E$11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Total Expenses</c:f>
            </c:strRef>
          </c:tx>
          <c:spPr>
            <a:solidFill>
              <a:srgbClr val="c0392b"/>
            </a:solidFill>
          </c:spPr>
          <c:cat>
            <c:strRef>
              <c:f>'Financial-Summary'!$B$6:$B$11</c:f>
            </c:strRef>
          </c:cat>
          <c:val>
            <c:numRef>
              <c:f>'Financial-Summary'!$L$6:$L$11</c:f>
              <c:numCache>
                <c:formatCode>#,##,##0;(#,##,##0)</c:formatCode>
              </c:numCache>
            </c:numRef>
          </c:val>
          <c:extLst/>
          <c:invertIfNegative val="0"/>
        </c:ser>
        <c:axId val="51645289"/>
        <c:axId val="26264148"/>
        <c:barDir val="col"/>
        <c:grouping val="clustered"/>
        <c:gapWidth val="150"/>
        <c:varyColors val="0"/>
        <c:overlap val="-27"/>
      </c:barChart>
      <c:catAx axisType="0">
        <c:axId val="51645289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26264148"/>
      </c:catAx>
      <c:valAx axisType="3">
        <c:axId val="26264148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₹#,##,##0" sourceLinked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51645289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Net Income Trend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Net Income</c:f>
            </c:strRef>
          </c:tx>
          <c:spPr>
            <a:solidFill>
              <a:srgbClr val="27ae60"/>
            </a:solidFill>
            <a:ln w="23813">
              <a:solidFill>
                <a:srgbClr val="27ae60"/>
              </a:solidFill>
            </a:ln>
          </c:spPr>
          <c:cat>
            <c:strRef>
              <c:f>'Financial-Summary'!$B$6:$B$11</c:f>
            </c:strRef>
          </c:cat>
          <c:val>
            <c:numRef>
              <c:f>'Financial-Summary'!$M$6:$M$11</c:f>
              <c:numCache>
                <c:formatCode>#,##,##0;(#,##,##0)</c:formatCode>
              </c:numCache>
            </c:numRef>
          </c:val>
          <c:dLbls>
            <c:numFmt formatCode="₹#,##,##0" sourceLinked="0"/>
            <c:spPr>
              <a:noFill/>
              <a:ln>
                <a:noFill/>
              </a:ln>
            </c:spPr>
            <c:dLblPos val="t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circle"/>
            <c:size val="5"/>
            <c:spPr>
              <a:solidFill>
                <a:srgbClr val="27ae60"/>
              </a:solidFill>
            </c:spPr>
          </c:marker>
        </c:ser>
        <c:axId val="20195886"/>
        <c:axId val="48934987"/>
        <c:grouping val="standard"/>
        <c:varyColors val="0"/>
        <c:smooth val="0"/>
        <c:marker val="1"/>
      </c:lineChart>
      <c:catAx axisType="0">
        <c:axId val="20195886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8934987"/>
      </c:catAx>
      <c:valAx axisType="3">
        <c:axId val="48934987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#,##,##0;(#,##,##0)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0195886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Expense Breakdown by Year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Staff Expenses</c:f>
            </c:strRef>
          </c:tx>
          <c:spPr>
            <a:solidFill>
              <a:srgbClr val="2e5090"/>
            </a:solidFill>
          </c:spPr>
          <c:cat>
            <c:strRef>
              <c:f>'Financial-Summary'!$B$6:$B$11</c:f>
            </c:strRef>
          </c:cat>
          <c:val>
            <c:numRef>
              <c:f>'Financial-Summary'!$F$6:$F$11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Rent</c:f>
            </c:strRef>
          </c:tx>
          <c:spPr>
            <a:solidFill>
              <a:srgbClr val="3498db"/>
            </a:solidFill>
          </c:spPr>
          <c:cat>
            <c:strRef>
              <c:f>'Financial-Summary'!$B$6:$B$11</c:f>
            </c:strRef>
          </c:cat>
          <c:val>
            <c:numRef>
              <c:f>'Financial-Summary'!$G$6:$G$11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One-Time</c:f>
            </c:strRef>
          </c:tx>
          <c:spPr>
            <a:solidFill>
              <a:srgbClr val="85c1e9"/>
            </a:solidFill>
          </c:spPr>
          <c:cat>
            <c:strRef>
              <c:f>'Financial-Summary'!$B$6:$B$11</c:f>
            </c:strRef>
          </c:cat>
          <c:val>
            <c:numRef>
              <c:f>'Financial-Summary'!$H$6:$H$11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3"/>
          <c:order val="3"/>
          <c:tx>
            <c:strRef>
              <c:f>Events</c:f>
            </c:strRef>
          </c:tx>
          <c:spPr>
            <a:solidFill>
              <a:srgbClr val="1abc9c"/>
            </a:solidFill>
          </c:spPr>
          <c:cat>
            <c:strRef>
              <c:f>'Financial-Summary'!$B$6:$B$11</c:f>
            </c:strRef>
          </c:cat>
          <c:val>
            <c:numRef>
              <c:f>'Financial-Summary'!$I$6:$I$11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4"/>
          <c:order val="4"/>
          <c:tx>
            <c:strRef>
              <c:f>Mktng+Legal</c:f>
            </c:strRef>
          </c:tx>
          <c:spPr>
            <a:solidFill>
              <a:srgbClr val="f39c12"/>
            </a:solidFill>
          </c:spPr>
          <c:cat>
            <c:strRef>
              <c:f>'Financial-Summary'!$B$6:$B$11</c:f>
            </c:strRef>
          </c:cat>
          <c:val>
            <c:numRef>
              <c:f>'Financial-Summary'!$J$6:$J$11</c:f>
              <c:numCache>
                <c:formatCode>#,##,##0;(#,##,##0)</c:formatCode>
              </c:numCache>
            </c:numRef>
          </c:val>
          <c:extLst/>
          <c:invertIfNegative val="0"/>
        </c:ser>
        <c:ser seriesType="0">
          <c:idx val="5"/>
          <c:order val="5"/>
          <c:tx>
            <c:strRef>
              <c:f>Other</c:f>
            </c:strRef>
          </c:tx>
          <c:spPr>
            <a:solidFill>
              <a:srgbClr val="e74c3c"/>
            </a:solidFill>
          </c:spPr>
          <c:cat>
            <c:strRef>
              <c:f>'Financial-Summary'!$B$6:$B$11</c:f>
            </c:strRef>
          </c:cat>
          <c:val>
            <c:numRef>
              <c:f>'Financial-Summary'!$K$6:$K$11</c:f>
              <c:numCache>
                <c:formatCode>#,##,##0;(#,##,##0)</c:formatCode>
              </c:numCache>
            </c:numRef>
          </c:val>
          <c:extLst/>
          <c:invertIfNegative val="0"/>
        </c:ser>
        <c:axId val="90668523"/>
        <c:axId val="39617492"/>
        <c:barDir val="col"/>
        <c:grouping val="stacked"/>
        <c:gapWidth val="150"/>
        <c:varyColors val="0"/>
        <c:overlap val="100"/>
      </c:barChart>
      <c:catAx axisType="0">
        <c:axId val="90668523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39617492"/>
      </c:catAx>
      <c:valAx axisType="3">
        <c:axId val="39617492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₹#,##,##0" sourceLinked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90668523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Staff Growth by Category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Educators</c:f>
            </c:strRef>
          </c:tx>
          <c:spPr>
            <a:solidFill>
              <a:srgbClr val="2e5090"/>
            </a:solidFill>
          </c:spPr>
          <c:cat>
            <c:strRef>
              <c:f>'Staff-Plan'!$D$4:$I$4</c:f>
            </c:strRef>
          </c:cat>
          <c:val>
            <c:numRef>
              <c:f>'Staff-Plan'!$D$7:$I$7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Aunties</c:f>
            </c:strRef>
          </c:tx>
          <c:spPr>
            <a:solidFill>
              <a:srgbClr val="3498db"/>
            </a:solidFill>
          </c:spPr>
          <c:cat>
            <c:strRef>
              <c:f>'Staff-Plan'!$D$4:$I$4</c:f>
            </c:strRef>
          </c:cat>
          <c:val>
            <c:numRef>
              <c:f>'Staff-Plan'!$D$8:$I$8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Security</c:f>
            </c:strRef>
          </c:tx>
          <c:spPr>
            <a:solidFill>
              <a:srgbClr val="85c1e9"/>
            </a:solidFill>
          </c:spPr>
          <c:cat>
            <c:strRef>
              <c:f>'Staff-Plan'!$D$4:$I$4</c:f>
            </c:strRef>
          </c:cat>
          <c:val>
            <c:numRef>
              <c:f>'Staff-Plan'!$D$9:$I$9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3"/>
          <c:order val="3"/>
          <c:tx>
            <c:strRef>
              <c:f>Visiting Faculty</c:f>
            </c:strRef>
          </c:tx>
          <c:spPr>
            <a:solidFill>
              <a:srgbClr val="1abc9c"/>
            </a:solidFill>
          </c:spPr>
          <c:cat>
            <c:strRef>
              <c:f>'Staff-Plan'!$D$4:$I$4</c:f>
            </c:strRef>
          </c:cat>
          <c:val>
            <c:numRef>
              <c:f>'Staff-Plan'!$D$10:$I$10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4"/>
          <c:order val="4"/>
          <c:tx>
            <c:strRef>
              <c:f>Admin</c:f>
            </c:strRef>
          </c:tx>
          <c:spPr>
            <a:solidFill>
              <a:srgbClr val="f39c12"/>
            </a:solidFill>
          </c:spPr>
          <c:cat>
            <c:strRef>
              <c:f>'Staff-Plan'!$D$4:$I$4</c:f>
            </c:strRef>
          </c:cat>
          <c:val>
            <c:numRef>
              <c:f>'Staff-Plan'!$D$11:$I$11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5"/>
          <c:order val="5"/>
          <c:tx>
            <c:strRef>
              <c:f>Principal &amp; HM</c:f>
            </c:strRef>
          </c:tx>
          <c:spPr>
            <a:solidFill>
              <a:srgbClr val="e74c3c"/>
            </a:solidFill>
          </c:spPr>
          <c:cat>
            <c:strRef>
              <c:f>'Staff-Plan'!$D$4:$I$4</c:f>
            </c:strRef>
          </c:cat>
          <c:val>
            <c:numRef>
              <c:f>'Staff-Plan'!$D$12:$I$12</c:f>
              <c:numCache>
                <c:formatCode>General</c:formatCode>
              </c:numCache>
            </c:numRef>
          </c:val>
          <c:extLst/>
          <c:invertIfNegative val="0"/>
        </c:ser>
        <c:axId val="16279514"/>
        <c:axId val="44958230"/>
        <c:barDir val="col"/>
        <c:grouping val="stacked"/>
        <c:gapWidth val="150"/>
        <c:varyColors val="0"/>
        <c:overlap val="100"/>
      </c:barChart>
      <c:catAx axisType="0">
        <c:axId val="16279514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4958230"/>
      </c:catAx>
      <c:valAx axisType="3">
        <c:axId val="44958230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16279514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1b2a4a"/>
                </a:solidFill>
                <a:latin typeface="Calibri"/>
              </a:defRPr>
            </a:pPr>
            <a:r>
              <a:rPr sz="750" b="0">
                <a:solidFill>
                  <a:srgbClr val="1b2a4a"/>
                </a:solidFill>
                <a:latin typeface="Calibri"/>
              </a:rPr>
              <a:t>Student Strength Growth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Nagre Nagar</c:f>
            </c:strRef>
          </c:tx>
          <c:spPr>
            <a:solidFill>
              <a:srgbClr val="2e5090"/>
            </a:solidFill>
            <a:ln w="23813">
              <a:solidFill>
                <a:srgbClr val="2e5090"/>
              </a:solidFill>
            </a:ln>
          </c:spPr>
          <c:cat>
            <c:strRef>
              <c:f>'Student-Growth'!$C$5:$K$5</c:f>
            </c:strRef>
          </c:cat>
          <c:val>
            <c:numRef>
              <c:f>'Student-Growth'!$C$6:$K$6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t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circle"/>
            <c:size val="5"/>
            <c:spPr>
              <a:solidFill>
                <a:srgbClr val="2e5090"/>
              </a:solidFill>
            </c:spPr>
          </c:marker>
        </c:ser>
        <c:ser seriesType="2">
          <c:idx val="1"/>
          <c:order val="1"/>
          <c:tx>
            <c:strRef>
              <c:f>Govind Nagar</c:f>
            </c:strRef>
          </c:tx>
          <c:spPr>
            <a:solidFill>
              <a:srgbClr val="e74c3c"/>
            </a:solidFill>
            <a:ln w="23813">
              <a:solidFill>
                <a:srgbClr val="e74c3c"/>
              </a:solidFill>
            </a:ln>
          </c:spPr>
          <c:cat>
            <c:strRef>
              <c:f>'Student-Growth'!$C$5:$K$5</c:f>
            </c:strRef>
          </c:cat>
          <c:val>
            <c:numRef>
              <c:f>'Student-Growth'!$C$7:$K$7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t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circle"/>
            <c:size val="5"/>
            <c:spPr>
              <a:solidFill>
                <a:srgbClr val="e74c3c"/>
              </a:solidFill>
            </c:spPr>
          </c:marker>
        </c:ser>
        <c:ser seriesType="2">
          <c:idx val="2"/>
          <c:order val="2"/>
          <c:tx>
            <c:strRef>
              <c:f>Total</c:f>
            </c:strRef>
          </c:tx>
          <c:spPr>
            <a:solidFill>
              <a:srgbClr val="27ae60"/>
            </a:solidFill>
            <a:ln w="28575">
              <a:solidFill>
                <a:srgbClr val="27ae60"/>
              </a:solidFill>
            </a:ln>
          </c:spPr>
          <c:cat>
            <c:strRef>
              <c:f>'Student-Growth'!$C$5:$K$5</c:f>
            </c:strRef>
          </c:cat>
          <c:val>
            <c:numRef>
              <c:f>'Student-Growth'!$C$8:$K$8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t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circle"/>
            <c:size val="5"/>
            <c:spPr>
              <a:solidFill>
                <a:srgbClr val="27ae60"/>
              </a:solidFill>
            </c:spPr>
          </c:marker>
        </c:ser>
        <c:axId val="46586948"/>
        <c:axId val="98452788"/>
        <c:grouping val="standard"/>
        <c:varyColors val="0"/>
        <c:smooth val="0"/>
        <c:marker val="1"/>
      </c:lineChart>
      <c:catAx axisType="0">
        <c:axId val="46586948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98452788"/>
      </c:catAx>
      <c:valAx axisType="3">
        <c:axId val="98452788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46586948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6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7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8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180975</xdr:rowOff>
    </xdr:from>
    <xdr:to>
      <xdr:col>6</xdr:col>
      <xdr:colOff>571500</xdr:colOff>
      <xdr:row>66</xdr:row>
      <xdr:rowOff>180975</xdr:rowOff>
    </xdr:to>
    <xdr:graphicFrame>
      <xdr:nvGraphicFramePr>
        <xdr:cNvPr id="2" name="ConservativeVsModerate"/>
        <xdr:cNvGraphicFramePr>
          <a:graphicFrameLocks noChangeAspect="0"/>
        </xdr:cNvGraphicFramePr>
      </xdr:nvGraphicFramePr>
      <xdr:xfrm>
        <a:off x="95250" y="10287000"/>
        <a:ext cx="66675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58</xdr:row>
      <xdr:rowOff>28575</xdr:rowOff>
    </xdr:from>
    <xdr:to>
      <xdr:col>20</xdr:col>
      <xdr:colOff>238125</xdr:colOff>
      <xdr:row>74</xdr:row>
      <xdr:rowOff>57150</xdr:rowOff>
    </xdr:to>
    <xdr:graphicFrame>
      <xdr:nvGraphicFramePr>
        <xdr:cNvPr id="2" name="SportsRevenue"/>
        <xdr:cNvGraphicFramePr>
          <a:graphicFrameLocks noChangeAspect="0"/>
        </xdr:cNvGraphicFramePr>
      </xdr:nvGraphicFramePr>
      <xdr:xfrm>
        <a:off x="9686925" y="11868150"/>
        <a:ext cx="6667500" cy="321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53</xdr:row>
      <xdr:rowOff>0</xdr:rowOff>
    </xdr:from>
    <xdr:to>
      <xdr:col>7</xdr:col>
      <xdr:colOff>285750</xdr:colOff>
      <xdr:row>70</xdr:row>
      <xdr:rowOff>0</xdr:rowOff>
    </xdr:to>
    <xdr:graphicFrame>
      <xdr:nvGraphicFramePr>
        <xdr:cNvPr id="2" name="ThreeWayComparison"/>
        <xdr:cNvGraphicFramePr>
          <a:graphicFrameLocks noChangeAspect="0"/>
        </xdr:cNvGraphicFramePr>
      </xdr:nvGraphicFramePr>
      <xdr:xfrm>
        <a:off x="95250" y="10858500"/>
        <a:ext cx="7429500" cy="3419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180975</xdr:rowOff>
    </xdr:from>
    <xdr:to>
      <xdr:col>5</xdr:col>
      <xdr:colOff>1133475</xdr:colOff>
      <xdr:row>28</xdr:row>
      <xdr:rowOff>180975</xdr:rowOff>
    </xdr:to>
    <xdr:graphicFrame>
      <xdr:nvGraphicFramePr>
        <xdr:cNvPr id="2" name="RevenueVsExpenses"/>
        <xdr:cNvGraphicFramePr>
          <a:graphicFrameLocks noChangeAspect="0"/>
        </xdr:cNvGraphicFramePr>
      </xdr:nvGraphicFramePr>
      <xdr:xfrm>
        <a:off x="95250" y="2667000"/>
        <a:ext cx="4953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1228725</xdr:colOff>
      <xdr:row>12</xdr:row>
      <xdr:rowOff>180975</xdr:rowOff>
    </xdr:from>
    <xdr:to>
      <xdr:col>8</xdr:col>
      <xdr:colOff>1228725</xdr:colOff>
      <xdr:row>28</xdr:row>
      <xdr:rowOff>180975</xdr:rowOff>
    </xdr:to>
    <xdr:graphicFrame>
      <xdr:nvGraphicFramePr>
        <xdr:cNvPr id="3" name="NetIncome"/>
        <xdr:cNvGraphicFramePr>
          <a:graphicFrameLocks noChangeAspect="0"/>
        </xdr:cNvGraphicFramePr>
      </xdr:nvGraphicFramePr>
      <xdr:xfrm>
        <a:off x="5143500" y="2667000"/>
        <a:ext cx="40005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180975</xdr:rowOff>
    </xdr:from>
    <xdr:to>
      <xdr:col>8</xdr:col>
      <xdr:colOff>1228725</xdr:colOff>
      <xdr:row>46</xdr:row>
      <xdr:rowOff>180975</xdr:rowOff>
    </xdr:to>
    <xdr:graphicFrame>
      <xdr:nvGraphicFramePr>
        <xdr:cNvPr id="4" name="Overview"/>
        <xdr:cNvGraphicFramePr>
          <a:graphicFrameLocks noChangeAspect="0"/>
        </xdr:cNvGraphicFramePr>
      </xdr:nvGraphicFramePr>
      <xdr:xfrm>
        <a:off x="95250" y="5905500"/>
        <a:ext cx="904875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95250</xdr:rowOff>
    </xdr:from>
    <xdr:to>
      <xdr:col>8</xdr:col>
      <xdr:colOff>76200</xdr:colOff>
      <xdr:row>33</xdr:row>
      <xdr:rowOff>95250</xdr:rowOff>
    </xdr:to>
    <xdr:graphicFrame>
      <xdr:nvGraphicFramePr>
        <xdr:cNvPr id="2" name="StaffGrowth"/>
        <xdr:cNvGraphicFramePr>
          <a:graphicFrameLocks noChangeAspect="0"/>
        </xdr:cNvGraphicFramePr>
      </xdr:nvGraphicFramePr>
      <xdr:xfrm>
        <a:off x="95250" y="3324225"/>
        <a:ext cx="714375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9</xdr:col>
      <xdr:colOff>457200</xdr:colOff>
      <xdr:row>28</xdr:row>
      <xdr:rowOff>0</xdr:rowOff>
    </xdr:to>
    <xdr:graphicFrame>
      <xdr:nvGraphicFramePr>
        <xdr:cNvPr id="2" name="StudentGrowth"/>
        <xdr:cNvGraphicFramePr>
          <a:graphicFrameLocks noChangeAspect="0"/>
        </xdr:cNvGraphicFramePr>
      </xdr:nvGraphicFramePr>
      <xdr:xfrm>
        <a:off x="95250" y="2219325"/>
        <a:ext cx="714375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42</xdr:row>
      <xdr:rowOff>0</xdr:rowOff>
    </xdr:from>
    <xdr:to>
      <xdr:col>8</xdr:col>
      <xdr:colOff>152400</xdr:colOff>
      <xdr:row>45</xdr:row>
      <xdr:rowOff>0</xdr:rowOff>
    </xdr:to>
    <xdr:pic>
      <xdr:nvPicPr>
        <xdr:cNvPr id="0" name="image1.jpg" title="Image"/>
        <xdr:cNvPicPr>
          <a:picLocks noChangeAspect="0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3352800" y="12287250"/>
          <a:ext cx="5133975" cy="2943225"/>
        </a:xfrm>
        <a:prstGeom prst="rect">
          <a:avLst/>
        </a:prstGeom>
        <a:noFill/>
        <a:ln cmpd="sng">
          <a:noFill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EC993D8-5A0D-1E6B-EDA8-663B9AD34FB8}" mc:Ignorable="x14ac xr xr2 xr3">
  <dimension ref="A1:CV10000"/>
  <sheetViews>
    <sheetView showGridLines="0" topLeftCell="A1" workbookViewId="0">
      <pane ySplit="4" topLeftCell="A8" activePane="bottomLeft" state="frozen"/>
      <selection pane="bottomLeft" activeCell="H3" sqref="H3"/>
    </sheetView>
  </sheetViews>
  <sheetFormatPr defaultRowHeight="15" defaultColWidth="8.8515625" customHeight="1"/>
  <cols>
    <col min="1" max="1" width="1.421875" customWidth="1"/>
    <col min="2" max="2" width="12.8515625" customWidth="1"/>
    <col min="3" max="3" width="11.421875" customWidth="1"/>
    <col min="4" max="4" width="21.421875" customWidth="1"/>
    <col min="5" max="5" width="20.00390625" customWidth="1"/>
    <col min="6" max="6" width="18.57421875" customWidth="1"/>
    <col min="7" max="7" width="11.421875" customWidth="1"/>
    <col min="8" max="8" width="20.00390625" customWidth="1"/>
    <col min="9" max="9" width="18.57421875" customWidth="1"/>
  </cols>
  <sheetData>
    <row r="2" ht="24" customHeight="1">
      <c r="B2" s="1" t="s">
        <v>0</v>
      </c>
    </row>
    <row r="3" ht="15.75" customHeight="1">
      <c r="B3" s="2" t="s">
        <v>1</v>
      </c>
    </row>
    <row r="4" ht="15" customHeight="1">
      <c r="B4" s="3"/>
      <c r="C4" s="3"/>
      <c r="D4" s="3"/>
      <c r="E4" s="3"/>
      <c r="F4" s="3"/>
      <c r="G4" s="3"/>
      <c r="H4" s="3"/>
      <c r="I4" s="3"/>
    </row>
    <row r="6" ht="15" customHeight="1">
      <c r="B6" s="4" t="s">
        <v>2</v>
      </c>
      <c r="C6" s="4"/>
      <c r="D6" s="4" t="s">
        <v>3</v>
      </c>
      <c r="E6" s="4"/>
      <c r="F6" s="4" t="s">
        <v>4</v>
      </c>
      <c r="G6" s="4"/>
      <c r="H6" s="4" t="s">
        <v>5</v>
      </c>
      <c r="I6" s="4"/>
    </row>
    <row r="7" ht="41.25" customHeight="1">
      <c r="B7" s="5">
        <f>('Financial-Summary'!E11/'Financial-Summary'!E6)^(1/5)-1</f>
        <v>0.273377259729909</v>
      </c>
      <c r="C7" s="6"/>
      <c r="D7" s="7">
        <f>SUM('Financial-Summary'!M6:'Financial-Summary'!M11)</f>
        <v>8890220.90748903</v>
      </c>
      <c r="E7" s="8"/>
      <c r="F7" s="9" t="s">
        <v>6</v>
      </c>
      <c r="G7" s="9"/>
      <c r="H7" s="10">
        <f>('Financial-Summary'!C11/'Financial-Summary'!C6)-1</f>
        <v>1.7</v>
      </c>
      <c r="I7" s="6"/>
    </row>
    <row r="8" ht="12.75" customHeight="1">
      <c r="B8" s="11" t="s">
        <v>7</v>
      </c>
      <c r="C8" s="11"/>
      <c r="D8" s="11" t="s">
        <v>8</v>
      </c>
      <c r="E8" s="11"/>
      <c r="F8" s="11" t="s">
        <v>9</v>
      </c>
      <c r="G8" s="11"/>
      <c r="H8" s="11" t="s">
        <v>10</v>
      </c>
      <c r="I8" s="11"/>
    </row>
    <row r="10" ht="19.5" customHeight="1">
      <c r="B10" s="12" t="s">
        <v>11</v>
      </c>
    </row>
    <row r="11" ht="15" customHeight="1"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</row>
    <row r="12" ht="15.75" customHeight="1">
      <c r="B12" s="13" t="str">
        <f>'Financial-Summary'!B6</f>
        <v>THIS</v>
      </c>
      <c r="C12" s="13">
        <f>'Financial-Summary'!C6</f>
        <v>200</v>
      </c>
      <c r="D12" s="14">
        <f>'Financial-Summary'!E6</f>
        <v>7500000</v>
      </c>
      <c r="E12" s="14">
        <f>'Financial-Summary'!L6</f>
        <v>8748000</v>
      </c>
      <c r="F12" s="14">
        <f>'Financial-Summary'!M6</f>
        <v>-1248000</v>
      </c>
      <c r="G12" s="15">
        <f>'Financial-Summary'!M6/'Financial-Summary'!E6</f>
        <v>-0.1664</v>
      </c>
      <c r="H12" s="14">
        <f>F12</f>
        <v>-1248000</v>
      </c>
      <c r="I12" s="13" t="s">
        <v>21</v>
      </c>
    </row>
    <row r="13" ht="15.75" customHeight="1">
      <c r="B13" s="16" t="str">
        <f>'Financial-Summary'!B7</f>
        <v>2027-28</v>
      </c>
      <c r="C13" s="16">
        <f>'Financial-Summary'!C7</f>
        <v>250</v>
      </c>
      <c r="D13" s="17">
        <f>'Financial-Summary'!E7</f>
        <v>9150862.06896553</v>
      </c>
      <c r="E13" s="17">
        <f>'Financial-Summary'!L7</f>
        <v>9797000</v>
      </c>
      <c r="F13" s="17">
        <f>'Financial-Summary'!M7</f>
        <v>-646137.93103447</v>
      </c>
      <c r="G13" s="18">
        <f>'Financial-Summary'!M7/'Financial-Summary'!E7</f>
        <v>-0.0706095148374926</v>
      </c>
      <c r="H13" s="17">
        <f t="shared" si="0" ref="H13:H17">H12+F13</f>
        <v>-1894137.93103447</v>
      </c>
      <c r="I13" s="18">
        <f t="shared" si="1" ref="I13:I17">(D13-D12)/D12</f>
        <v>0.220114942528737</v>
      </c>
    </row>
    <row r="14" ht="15.75" customHeight="1">
      <c r="B14" s="13" t="str">
        <f>'Financial-Summary'!B8</f>
        <v>2028-29</v>
      </c>
      <c r="C14" s="13">
        <f>'Financial-Summary'!C8</f>
        <v>310</v>
      </c>
      <c r="D14" s="14">
        <f>'Financial-Summary'!E8</f>
        <v>12568285.7142857</v>
      </c>
      <c r="E14" s="14">
        <f>'Financial-Summary'!L8</f>
        <v>10633750</v>
      </c>
      <c r="F14" s="14">
        <f>'Financial-Summary'!M8</f>
        <v>1934535.7142857</v>
      </c>
      <c r="G14" s="15">
        <f>'Financial-Summary'!M8/'Financial-Summary'!E8</f>
        <v>0.153922003228079</v>
      </c>
      <c r="H14" s="14">
        <f t="shared" si="0"/>
        <v>40397.7832512301</v>
      </c>
      <c r="I14" s="15">
        <f t="shared" si="1"/>
        <v>0.373453737971869</v>
      </c>
    </row>
    <row r="15" ht="15.75" customHeight="1">
      <c r="B15" s="16" t="str">
        <f>'Financial-Summary'!B9</f>
        <v>2029-30</v>
      </c>
      <c r="C15" s="16">
        <f>'Financial-Summary'!C9</f>
        <v>370</v>
      </c>
      <c r="D15" s="17">
        <f>'Financial-Summary'!E9</f>
        <v>15188048.7804878</v>
      </c>
      <c r="E15" s="17">
        <f>'Financial-Summary'!L9</f>
        <v>12392512.5</v>
      </c>
      <c r="F15" s="17">
        <f>'Financial-Summary'!M9</f>
        <v>2795536.2804878</v>
      </c>
      <c r="G15" s="18">
        <f>'Financial-Summary'!M9/'Financial-Summary'!E9</f>
        <v>0.184061581635111</v>
      </c>
      <c r="H15" s="17">
        <f t="shared" si="0"/>
        <v>2835934.06373903</v>
      </c>
      <c r="I15" s="18">
        <f t="shared" si="1"/>
        <v>0.208442354491063</v>
      </c>
    </row>
    <row r="16" ht="15.75" customHeight="1">
      <c r="B16" s="13" t="str">
        <f>'Financial-Summary'!B10</f>
        <v>2030-31</v>
      </c>
      <c r="C16" s="13">
        <f>'Financial-Summary'!C10</f>
        <v>460</v>
      </c>
      <c r="D16" s="14">
        <f>'Financial-Summary'!E10</f>
        <v>20148000</v>
      </c>
      <c r="E16" s="14">
        <f>'Financial-Summary'!L10</f>
        <v>17448149.375</v>
      </c>
      <c r="F16" s="14">
        <f>'Financial-Summary'!M10</f>
        <v>2699850.625</v>
      </c>
      <c r="G16" s="15">
        <f>'Financial-Summary'!M10/'Financial-Summary'!E10</f>
        <v>0.134000924409371</v>
      </c>
      <c r="H16" s="14">
        <f t="shared" si="0"/>
        <v>5535784.68873903</v>
      </c>
      <c r="I16" s="15">
        <f t="shared" si="1"/>
        <v>0.326569350098762</v>
      </c>
    </row>
    <row r="17" ht="15.75" customHeight="1">
      <c r="B17" s="16" t="str">
        <f>'Financial-Summary'!B11</f>
        <v>2031-32</v>
      </c>
      <c r="C17" s="16">
        <f>'Financial-Summary'!C11</f>
        <v>540</v>
      </c>
      <c r="D17" s="17">
        <f>'Financial-Summary'!E11</f>
        <v>25110000</v>
      </c>
      <c r="E17" s="17">
        <f>'Financial-Summary'!L11</f>
        <v>21755563.78125</v>
      </c>
      <c r="F17" s="17">
        <f>'Financial-Summary'!M11</f>
        <v>3354436.21875</v>
      </c>
      <c r="G17" s="18">
        <f>'Financial-Summary'!M11/'Financial-Summary'!E11</f>
        <v>0.133589654271207</v>
      </c>
      <c r="H17" s="17">
        <f t="shared" si="0"/>
        <v>8890220.90748903</v>
      </c>
      <c r="I17" s="18">
        <f t="shared" si="1"/>
        <v>0.246277546158428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35A29FE-41E8-FD28-C578-A5D4942FC418}" mc:Ignorable="x14ac xr xr2 xr3">
  <dimension ref="A1:CV10000"/>
  <sheetViews>
    <sheetView showGridLines="0" topLeftCell="C1" workbookViewId="0">
      <pane ySplit="4" topLeftCell="A24" activePane="bottomLeft" state="frozen"/>
      <selection pane="bottomLeft" activeCell="F33" sqref="F33"/>
    </sheetView>
  </sheetViews>
  <sheetFormatPr defaultRowHeight="15" defaultColWidth="8.8515625" customHeight="1"/>
  <cols>
    <col min="1" max="1" width="1.421875" customWidth="1"/>
    <col min="2" max="2" width="25.7109375" customWidth="1"/>
    <col min="3" max="3" width="17.140625" customWidth="1"/>
    <col min="4" max="4" width="20.00390625" customWidth="1"/>
    <col min="5" max="5" width="22.140625" customWidth="1"/>
    <col min="6" max="6" width="22.8515625" customWidth="1"/>
    <col min="7" max="7" width="14.28125" customWidth="1"/>
    <col min="8" max="8" width="15.7109375" customWidth="1"/>
  </cols>
  <sheetData>
    <row r="2" ht="24" customHeight="1">
      <c r="B2" s="1" t="s">
        <v>27</v>
      </c>
    </row>
    <row r="3" ht="15.75" customHeight="1">
      <c r="B3" s="2" t="s">
        <v>28</v>
      </c>
    </row>
    <row r="4" ht="15" customHeight="1">
      <c r="B4" s="3"/>
      <c r="C4" s="3"/>
      <c r="D4" s="3"/>
      <c r="E4" s="3"/>
      <c r="F4" s="3"/>
      <c r="G4" s="3"/>
      <c r="H4" s="3"/>
    </row>
    <row r="6" ht="19.5" customHeight="1">
      <c r="B6" s="12" t="s">
        <v>29</v>
      </c>
    </row>
    <row r="8" ht="15.75" customHeight="1">
      <c r="B8" s="19" t="s">
        <v>30</v>
      </c>
      <c r="C8" s="20"/>
      <c r="D8" s="21">
        <v>0.15</v>
      </c>
      <c r="E8" s="20"/>
    </row>
    <row r="9" ht="15.75" customHeight="1">
      <c r="B9" s="22" t="s">
        <v>31</v>
      </c>
      <c r="C9" s="23"/>
      <c r="D9" s="24">
        <v>17500000</v>
      </c>
      <c r="E9" s="25" t="s">
        <v>32</v>
      </c>
    </row>
    <row r="10" ht="15.75" customHeight="1">
      <c r="B10" s="19" t="s">
        <v>33</v>
      </c>
      <c r="C10" s="20"/>
      <c r="D10" s="26">
        <f>D9/(D8*100)</f>
        <v>1166666.66666667</v>
      </c>
      <c r="E10" s="27" t="s">
        <v>34</v>
      </c>
    </row>
    <row r="11" ht="15.75" customHeight="1">
      <c r="B11" s="22" t="s">
        <v>35</v>
      </c>
      <c r="C11" s="23"/>
      <c r="D11" s="28">
        <f>D9/D8-D9</f>
        <v>99166666.6666667</v>
      </c>
      <c r="E11" s="25" t="s">
        <v>32</v>
      </c>
    </row>
    <row r="12" ht="15.75" customHeight="1">
      <c r="B12" s="19" t="s">
        <v>36</v>
      </c>
      <c r="C12" s="20"/>
      <c r="D12" s="26">
        <f>D11+D9</f>
        <v>116666666.666667</v>
      </c>
      <c r="E12" s="27" t="s">
        <v>32</v>
      </c>
    </row>
    <row r="14" ht="19.5" customHeight="1">
      <c r="B14" s="12" t="s">
        <v>37</v>
      </c>
    </row>
    <row r="16" ht="15" customHeight="1">
      <c r="B16" s="4" t="s">
        <v>12</v>
      </c>
      <c r="C16" s="4" t="s">
        <v>14</v>
      </c>
      <c r="D16" s="4" t="s">
        <v>16</v>
      </c>
      <c r="E16" s="4" t="s">
        <v>38</v>
      </c>
      <c r="F16" s="4" t="s">
        <v>39</v>
      </c>
      <c r="G16" s="4" t="s">
        <v>40</v>
      </c>
      <c r="H16" s="4" t="s">
        <v>41</v>
      </c>
    </row>
    <row r="17" ht="15.75" customHeight="1">
      <c r="B17" s="13" t="str">
        <f>'Executive-Summary'!B12</f>
        <v>THIS</v>
      </c>
      <c r="C17" s="14">
        <f>'Executive-Summary'!D12</f>
        <v>7500000</v>
      </c>
      <c r="D17" s="29">
        <f>'Executive-Summary'!F12</f>
        <v>-1248000</v>
      </c>
      <c r="E17" s="29">
        <f t="shared" si="0" ref="E17:E31">D17*$D$8</f>
        <v>-187200</v>
      </c>
      <c r="F17" s="29">
        <f>E17</f>
        <v>-187200</v>
      </c>
      <c r="G17" s="15">
        <f t="shared" si="1" ref="G17:G22">F17/$D$9</f>
        <v>-0.0106971428571429</v>
      </c>
      <c r="H17" s="30">
        <f t="shared" si="2" ref="H17:H22">(F17+$D$9)/$D$9</f>
        <v>0.989302857142857</v>
      </c>
    </row>
    <row r="18" ht="15.75" customHeight="1">
      <c r="B18" s="16" t="str">
        <f>'Executive-Summary'!B13</f>
        <v>2027-28</v>
      </c>
      <c r="C18" s="17">
        <f>'Executive-Summary'!D13</f>
        <v>9150862.06896553</v>
      </c>
      <c r="D18" s="31">
        <f>'Executive-Summary'!F13</f>
        <v>-646137.93103447</v>
      </c>
      <c r="E18" s="31">
        <f t="shared" si="0"/>
        <v>-96920.6896551705</v>
      </c>
      <c r="F18" s="31">
        <f t="shared" si="3" ref="F18:F22">F17+E18</f>
        <v>-284120.68965517</v>
      </c>
      <c r="G18" s="18">
        <f t="shared" si="1"/>
        <v>-0.0162354679802954</v>
      </c>
      <c r="H18" s="32">
        <f t="shared" si="2"/>
        <v>0.983764532019705</v>
      </c>
    </row>
    <row r="19" ht="15.75" customHeight="1">
      <c r="B19" s="13" t="str">
        <f>'Executive-Summary'!B14</f>
        <v>2028-29</v>
      </c>
      <c r="C19" s="14">
        <f>'Executive-Summary'!D14</f>
        <v>12568285.7142857</v>
      </c>
      <c r="D19" s="29">
        <f>'Executive-Summary'!F14</f>
        <v>1934535.7142857</v>
      </c>
      <c r="E19" s="29">
        <f t="shared" si="0"/>
        <v>290180.357142855</v>
      </c>
      <c r="F19" s="29">
        <f t="shared" si="3"/>
        <v>6059.66748768499</v>
      </c>
      <c r="G19" s="15">
        <f t="shared" si="1"/>
        <v>0.000346266713581999</v>
      </c>
      <c r="H19" s="30">
        <f t="shared" si="2"/>
        <v>1.00034626671358</v>
      </c>
    </row>
    <row r="20" ht="15.75" customHeight="1">
      <c r="B20" s="16" t="str">
        <f>'Executive-Summary'!B15</f>
        <v>2029-30</v>
      </c>
      <c r="C20" s="17">
        <f>'Executive-Summary'!D15</f>
        <v>15188048.7804878</v>
      </c>
      <c r="D20" s="31">
        <f>'Executive-Summary'!F15</f>
        <v>2795536.2804878</v>
      </c>
      <c r="E20" s="31">
        <f t="shared" si="0"/>
        <v>419330.44207317</v>
      </c>
      <c r="F20" s="31">
        <f t="shared" si="3"/>
        <v>425390.109560855</v>
      </c>
      <c r="G20" s="18">
        <f t="shared" si="1"/>
        <v>0.0243080062606203</v>
      </c>
      <c r="H20" s="32">
        <f t="shared" si="2"/>
        <v>1.02430800626062</v>
      </c>
    </row>
    <row r="21" ht="15.75" customHeight="1">
      <c r="B21" s="13" t="str">
        <f>'Executive-Summary'!B16</f>
        <v>2030-31</v>
      </c>
      <c r="C21" s="14">
        <f>'Executive-Summary'!D16</f>
        <v>20148000</v>
      </c>
      <c r="D21" s="29">
        <f>'Executive-Summary'!F16</f>
        <v>2699850.625</v>
      </c>
      <c r="E21" s="29">
        <f t="shared" si="0"/>
        <v>404977.59375</v>
      </c>
      <c r="F21" s="29">
        <f t="shared" si="3"/>
        <v>830367.703310855</v>
      </c>
      <c r="G21" s="15">
        <f t="shared" si="1"/>
        <v>0.0474495830463346</v>
      </c>
      <c r="H21" s="30">
        <f t="shared" si="2"/>
        <v>1.04744958304633</v>
      </c>
    </row>
    <row r="22" ht="15.75" customHeight="1">
      <c r="B22" s="16" t="str">
        <f>'Executive-Summary'!B17</f>
        <v>2031-32</v>
      </c>
      <c r="C22" s="17">
        <f>'Executive-Summary'!D17</f>
        <v>25110000</v>
      </c>
      <c r="D22" s="31">
        <f>'Executive-Summary'!F17</f>
        <v>3354436.21875</v>
      </c>
      <c r="E22" s="31">
        <f t="shared" si="0"/>
        <v>503165.4328125</v>
      </c>
      <c r="F22" s="31">
        <f t="shared" si="3"/>
        <v>1333533.13612336</v>
      </c>
      <c r="G22" s="18">
        <f t="shared" si="1"/>
        <v>0.0762018934927634</v>
      </c>
      <c r="H22" s="32">
        <f t="shared" si="2"/>
        <v>1.07620189349276</v>
      </c>
    </row>
    <row r="25" ht="19.5" customHeight="1">
      <c r="B25" s="12" t="s">
        <v>42</v>
      </c>
    </row>
    <row r="26" ht="15" customHeight="1">
      <c r="B26" s="33" t="s">
        <v>43</v>
      </c>
    </row>
    <row r="28" ht="15" customHeight="1">
      <c r="B28" s="4" t="s">
        <v>44</v>
      </c>
      <c r="C28" s="4" t="s">
        <v>45</v>
      </c>
      <c r="D28" s="4" t="s">
        <v>46</v>
      </c>
      <c r="E28" s="4" t="s">
        <v>47</v>
      </c>
      <c r="F28" s="4" t="s">
        <v>48</v>
      </c>
      <c r="G28" s="4" t="s">
        <v>49</v>
      </c>
      <c r="H28" s="4" t="s">
        <v>50</v>
      </c>
    </row>
    <row r="29" ht="15.75" customHeight="1">
      <c r="B29" s="34" t="s">
        <v>51</v>
      </c>
      <c r="C29" s="35">
        <v>2</v>
      </c>
      <c r="D29" s="14">
        <f>C29*'Executive-Summary'!D17</f>
        <v>50220000</v>
      </c>
      <c r="E29" s="14">
        <f t="shared" si="0"/>
        <v>7533000</v>
      </c>
      <c r="F29" s="14">
        <f>E29+F22</f>
        <v>8866533.13612336</v>
      </c>
      <c r="G29" s="15">
        <f t="shared" si="4" ref="G29:G31">(F29-$D$9)/$D$9</f>
        <v>-0.493340963650094</v>
      </c>
      <c r="H29" s="30">
        <f t="shared" si="5" ref="H29:H31">F29/$D$9</f>
        <v>0.506659036349906</v>
      </c>
    </row>
    <row r="30" ht="15.75" customHeight="1">
      <c r="B30" s="36" t="s">
        <v>52</v>
      </c>
      <c r="C30" s="37">
        <v>3</v>
      </c>
      <c r="D30" s="17">
        <f>C30*'Executive-Summary'!D17</f>
        <v>75330000</v>
      </c>
      <c r="E30" s="17">
        <f t="shared" si="0"/>
        <v>11299500</v>
      </c>
      <c r="F30" s="17">
        <f>E30+F22</f>
        <v>12633033.1361234</v>
      </c>
      <c r="G30" s="18">
        <f t="shared" si="4"/>
        <v>-0.27811239222152</v>
      </c>
      <c r="H30" s="32">
        <f t="shared" si="5"/>
        <v>0.72188760777848</v>
      </c>
    </row>
    <row r="31" ht="15.75" customHeight="1">
      <c r="B31" s="34" t="s">
        <v>53</v>
      </c>
      <c r="C31" s="35">
        <v>5</v>
      </c>
      <c r="D31" s="14">
        <f>C31*'Executive-Summary'!D17</f>
        <v>125550000</v>
      </c>
      <c r="E31" s="14">
        <f t="shared" si="0"/>
        <v>18832500</v>
      </c>
      <c r="F31" s="14">
        <f>E31+F22</f>
        <v>20166033.1361234</v>
      </c>
      <c r="G31" s="15">
        <f t="shared" si="4"/>
        <v>0.152344750635623</v>
      </c>
      <c r="H31" s="30">
        <f t="shared" si="5"/>
        <v>1.15234475063562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6C17235-0688-BB28-DD18-AE1F482A5059}" mc:Ignorable="x14ac xr xr2 xr3">
  <dimension ref="A1:CV10000"/>
  <sheetViews>
    <sheetView showGridLines="0" topLeftCell="A1" workbookViewId="0">
      <pane ySplit="4" topLeftCell="A5" activePane="bottomLeft" state="frozen"/>
      <selection pane="bottomLeft" activeCell="C10" sqref="C10"/>
    </sheetView>
  </sheetViews>
  <sheetFormatPr defaultRowHeight="15" defaultColWidth="8.8515625" customHeight="1"/>
  <cols>
    <col min="1" max="1" width="1.421875" customWidth="1"/>
    <col min="2" max="2" width="28.57421875" customWidth="1"/>
    <col min="3" max="8" width="15.7109375" customWidth="1"/>
  </cols>
  <sheetData>
    <row r="2" ht="24" customHeight="1">
      <c r="B2" s="1" t="s">
        <v>54</v>
      </c>
    </row>
    <row r="3" ht="15.75" customHeight="1">
      <c r="B3" s="2" t="s">
        <v>55</v>
      </c>
    </row>
    <row r="4" ht="15" customHeight="1">
      <c r="B4" s="3"/>
      <c r="C4" s="3"/>
      <c r="D4" s="3"/>
      <c r="E4" s="3"/>
      <c r="F4" s="3"/>
      <c r="G4" s="3"/>
      <c r="H4" s="3"/>
      <c r="I4" s="3"/>
      <c r="J4" s="3"/>
    </row>
    <row r="6" ht="19.5" customHeight="1">
      <c r="B6" s="12" t="s">
        <v>56</v>
      </c>
    </row>
    <row r="8" ht="15" customHeight="1">
      <c r="B8" s="4"/>
      <c r="C8" s="4" t="s">
        <v>57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</row>
    <row r="9" ht="15.75" customHeight="1">
      <c r="B9" s="38" t="s">
        <v>58</v>
      </c>
      <c r="C9" s="39">
        <f>'Financial-Summary'!C6</f>
        <v>200</v>
      </c>
      <c r="D9" s="39">
        <f>'Financial-Summary'!C7</f>
        <v>250</v>
      </c>
      <c r="E9" s="39">
        <f>'Financial-Summary'!C8</f>
        <v>310</v>
      </c>
      <c r="F9" s="39">
        <f>'Financial-Summary'!C9</f>
        <v>370</v>
      </c>
      <c r="G9" s="39">
        <f>'Financial-Summary'!C10</f>
        <v>460</v>
      </c>
      <c r="H9" s="39">
        <f>'Financial-Summary'!C11</f>
        <v>540</v>
      </c>
    </row>
    <row r="10" ht="15.75" customHeight="1">
      <c r="B10" s="40" t="s">
        <v>59</v>
      </c>
      <c r="C10" s="41">
        <v>200</v>
      </c>
      <c r="D10" s="41">
        <v>275</v>
      </c>
      <c r="E10" s="41">
        <v>375</v>
      </c>
      <c r="F10" s="41">
        <v>485</v>
      </c>
      <c r="G10" s="41">
        <v>605</v>
      </c>
      <c r="H10" s="41">
        <v>705</v>
      </c>
      <c r="I10" s="42"/>
    </row>
    <row r="11" ht="15.75" customHeight="1">
      <c r="B11" s="43" t="s">
        <v>60</v>
      </c>
      <c r="C11" s="44" t="s">
        <v>21</v>
      </c>
      <c r="D11" s="44">
        <f t="shared" si="0" ref="D11:H11">D10-C10</f>
        <v>75</v>
      </c>
      <c r="E11" s="44">
        <f t="shared" si="0"/>
        <v>100</v>
      </c>
      <c r="F11" s="44">
        <f t="shared" si="0"/>
        <v>110</v>
      </c>
      <c r="G11" s="44">
        <f t="shared" si="0"/>
        <v>120</v>
      </c>
      <c r="H11" s="44">
        <f t="shared" si="0"/>
        <v>100</v>
      </c>
    </row>
    <row r="12" ht="15.75" customHeight="1">
      <c r="B12" s="45" t="s">
        <v>61</v>
      </c>
      <c r="C12" s="46">
        <f t="shared" si="1" ref="C12:H12">C10/C9</f>
        <v>1</v>
      </c>
      <c r="D12" s="46">
        <f t="shared" si="1"/>
        <v>1.1</v>
      </c>
      <c r="E12" s="46">
        <f t="shared" si="1"/>
        <v>1.20967741935484</v>
      </c>
      <c r="F12" s="46">
        <f t="shared" si="1"/>
        <v>1.31081081081081</v>
      </c>
      <c r="G12" s="46">
        <f t="shared" si="1"/>
        <v>1.31521739130435</v>
      </c>
      <c r="H12" s="46">
        <f t="shared" si="1"/>
        <v>1.30555555555556</v>
      </c>
    </row>
    <row r="14" ht="19.5" customHeight="1">
      <c r="B14" s="12" t="s">
        <v>62</v>
      </c>
    </row>
    <row r="16" ht="15" customHeight="1">
      <c r="B16" s="4"/>
      <c r="C16" s="4" t="s">
        <v>57</v>
      </c>
      <c r="D16" s="4" t="s">
        <v>22</v>
      </c>
      <c r="E16" s="4" t="s">
        <v>23</v>
      </c>
      <c r="F16" s="4" t="s">
        <v>24</v>
      </c>
      <c r="G16" s="4" t="s">
        <v>25</v>
      </c>
      <c r="H16" s="4" t="s">
        <v>26</v>
      </c>
    </row>
    <row r="17" ht="15.75" customHeight="1">
      <c r="B17" s="47" t="s">
        <v>63</v>
      </c>
      <c r="C17" s="48">
        <f>ROUNDUP('Staff-Plan'!D7*C12,0)</f>
        <v>10</v>
      </c>
      <c r="D17" s="48">
        <f>ROUNDUP('Staff-Plan'!E7*D12,0)</f>
        <v>13</v>
      </c>
      <c r="E17" s="48">
        <f>ROUNDUP('Staff-Plan'!F7*E12,0)</f>
        <v>17</v>
      </c>
      <c r="F17" s="48">
        <f>ROUNDUP('Staff-Plan'!G7*F12,0)</f>
        <v>23</v>
      </c>
      <c r="G17" s="48">
        <f>ROUNDUP('Staff-Plan'!H7*G12,0)</f>
        <v>25</v>
      </c>
      <c r="H17" s="48">
        <f>ROUNDUP('Staff-Plan'!I7*H12,0)</f>
        <v>28</v>
      </c>
    </row>
    <row r="18" ht="15.75" customHeight="1">
      <c r="B18" s="45" t="s">
        <v>64</v>
      </c>
      <c r="C18" s="39">
        <f>ROUNDUP('Staff-Plan'!D8*C12,0)</f>
        <v>3</v>
      </c>
      <c r="D18" s="39">
        <f>ROUNDUP('Staff-Plan'!E8*D12,0)</f>
        <v>6</v>
      </c>
      <c r="E18" s="39">
        <f>ROUNDUP('Staff-Plan'!F8*E12,0)</f>
        <v>8</v>
      </c>
      <c r="F18" s="39">
        <f>ROUNDUP('Staff-Plan'!G8*F12,0)</f>
        <v>10</v>
      </c>
      <c r="G18" s="39">
        <f>ROUNDUP('Staff-Plan'!H8*G12,0)</f>
        <v>14</v>
      </c>
      <c r="H18" s="39">
        <f>ROUNDUP('Staff-Plan'!I8*H12,0)</f>
        <v>16</v>
      </c>
    </row>
    <row r="19" ht="15.75" customHeight="1">
      <c r="B19" s="47" t="s">
        <v>65</v>
      </c>
      <c r="C19" s="48">
        <f>ROUNDUP('Staff-Plan'!D9*C12,0)</f>
        <v>2</v>
      </c>
      <c r="D19" s="48">
        <f>ROUNDUP('Staff-Plan'!E9*D12,0)</f>
        <v>3</v>
      </c>
      <c r="E19" s="48">
        <f>ROUNDUP('Staff-Plan'!F9*E12,0)</f>
        <v>3</v>
      </c>
      <c r="F19" s="48">
        <f>ROUNDUP('Staff-Plan'!G9*F12,0)</f>
        <v>3</v>
      </c>
      <c r="G19" s="48">
        <f>ROUNDUP('Staff-Plan'!H9*G12,0)</f>
        <v>4</v>
      </c>
      <c r="H19" s="48">
        <f>ROUNDUP('Staff-Plan'!I9*H12,0)</f>
        <v>4</v>
      </c>
    </row>
    <row r="20" ht="15.75" customHeight="1">
      <c r="B20" s="45" t="s">
        <v>66</v>
      </c>
      <c r="C20" s="39">
        <f>ROUNDUP('Staff-Plan'!D10*C12,0)</f>
        <v>4</v>
      </c>
      <c r="D20" s="39">
        <f>ROUNDUP('Staff-Plan'!E10*D12,0)</f>
        <v>5</v>
      </c>
      <c r="E20" s="39">
        <f>ROUNDUP('Staff-Plan'!F10*E12,0)</f>
        <v>7</v>
      </c>
      <c r="F20" s="39">
        <f>ROUNDUP('Staff-Plan'!G10*F12,0)</f>
        <v>7</v>
      </c>
      <c r="G20" s="39">
        <f>ROUNDUP('Staff-Plan'!H10*G12,0)</f>
        <v>7</v>
      </c>
      <c r="H20" s="39">
        <f>ROUNDUP('Staff-Plan'!I10*H12,0)</f>
        <v>10</v>
      </c>
    </row>
    <row r="21" ht="15.75" customHeight="1">
      <c r="B21" s="47" t="s">
        <v>67</v>
      </c>
      <c r="C21" s="48">
        <f>ROUNDUP('Staff-Plan'!D11*C12,0)</f>
        <v>1</v>
      </c>
      <c r="D21" s="48">
        <f>ROUNDUP('Staff-Plan'!E11*D12,0)</f>
        <v>2</v>
      </c>
      <c r="E21" s="48">
        <f>ROUNDUP('Staff-Plan'!F11*E12,0)</f>
        <v>2</v>
      </c>
      <c r="F21" s="48">
        <f>ROUNDUP('Staff-Plan'!G11*F12,0)</f>
        <v>2</v>
      </c>
      <c r="G21" s="48">
        <f>ROUNDUP('Staff-Plan'!H11*G12,0)</f>
        <v>3</v>
      </c>
      <c r="H21" s="48">
        <f>ROUNDUP('Staff-Plan'!I11*H12,0)</f>
        <v>3</v>
      </c>
    </row>
    <row r="22" ht="15.75" customHeight="1">
      <c r="B22" s="45" t="s">
        <v>68</v>
      </c>
      <c r="C22" s="39">
        <f>ROUNDUP('Staff-Plan'!D12*C12,0)</f>
        <v>0</v>
      </c>
      <c r="D22" s="39">
        <f>ROUNDUP('Staff-Plan'!E12*D12,0)</f>
        <v>0</v>
      </c>
      <c r="E22" s="39">
        <f>ROUNDUP('Staff-Plan'!F12*E12,0)</f>
        <v>0</v>
      </c>
      <c r="F22" s="39">
        <f>ROUNDUP('Staff-Plan'!G12*F12,0)</f>
        <v>0</v>
      </c>
      <c r="G22" s="39">
        <f>ROUNDUP('Staff-Plan'!H12*G12,0)</f>
        <v>2</v>
      </c>
      <c r="H22" s="39">
        <f>ROUNDUP('Staff-Plan'!I12*H12,0)</f>
        <v>2</v>
      </c>
    </row>
    <row r="23" ht="15.75" customHeight="1">
      <c r="B23" s="49" t="s">
        <v>69</v>
      </c>
      <c r="C23" s="50">
        <f t="shared" si="2" ref="C23:H35">SUM(C17:C22)</f>
        <v>20</v>
      </c>
      <c r="D23" s="50">
        <f t="shared" si="2"/>
        <v>29</v>
      </c>
      <c r="E23" s="50">
        <f t="shared" si="2"/>
        <v>37</v>
      </c>
      <c r="F23" s="50">
        <f t="shared" si="2"/>
        <v>45</v>
      </c>
      <c r="G23" s="50">
        <f t="shared" si="2"/>
        <v>55</v>
      </c>
      <c r="H23" s="50">
        <f t="shared" si="2"/>
        <v>63</v>
      </c>
    </row>
    <row r="25" ht="19.5" customHeight="1">
      <c r="B25" s="12" t="s">
        <v>70</v>
      </c>
    </row>
    <row r="27" ht="15" customHeight="1">
      <c r="B27" s="4"/>
      <c r="C27" s="4" t="s">
        <v>57</v>
      </c>
      <c r="D27" s="4" t="s">
        <v>22</v>
      </c>
      <c r="E27" s="4" t="s">
        <v>23</v>
      </c>
      <c r="F27" s="4" t="s">
        <v>24</v>
      </c>
      <c r="G27" s="4" t="s">
        <v>25</v>
      </c>
      <c r="H27" s="4" t="s">
        <v>26</v>
      </c>
    </row>
    <row r="28" ht="15.75" customHeight="1">
      <c r="B28" s="47" t="s">
        <v>14</v>
      </c>
      <c r="C28" s="51">
        <f>'Financial-Summary'!E6*C12</f>
        <v>7500000</v>
      </c>
      <c r="D28" s="51">
        <f>'Financial-Summary'!E7*D12</f>
        <v>10065948.2758621</v>
      </c>
      <c r="E28" s="51">
        <f>'Financial-Summary'!E8*E12</f>
        <v>15203571.4285714</v>
      </c>
      <c r="F28" s="51">
        <f>'Financial-Summary'!E9*F12</f>
        <v>19908658.5365853</v>
      </c>
      <c r="G28" s="51">
        <f>'Financial-Summary'!E10*G12</f>
        <v>26499000</v>
      </c>
      <c r="H28" s="51">
        <f>'Financial-Summary'!E11*H12</f>
        <v>32782500.0000001</v>
      </c>
    </row>
    <row r="29" ht="15.75" customHeight="1">
      <c r="B29" s="45" t="s">
        <v>71</v>
      </c>
      <c r="C29" s="52">
        <f>'Financial-Summary'!F6*C12</f>
        <v>2808000</v>
      </c>
      <c r="D29" s="52">
        <f>'Financial-Summary'!F7*D12</f>
        <v>4039200</v>
      </c>
      <c r="E29" s="52">
        <f>'Financial-Summary'!F8*E12</f>
        <v>5922580.6451613</v>
      </c>
      <c r="F29" s="52">
        <f>'Financial-Summary'!F9*F12</f>
        <v>8667081.08108108</v>
      </c>
      <c r="G29" s="52">
        <f>'Financial-Summary'!F10*G12</f>
        <v>12436695.6521739</v>
      </c>
      <c r="H29" s="52">
        <f>'Financial-Summary'!F11*H12</f>
        <v>15933000.0000001</v>
      </c>
    </row>
    <row r="30" ht="15.75" customHeight="1">
      <c r="B30" s="47" t="s">
        <v>72</v>
      </c>
      <c r="C30" s="51">
        <f>'Financial-Summary'!G6</f>
        <v>2040000</v>
      </c>
      <c r="D30" s="51">
        <f>'Financial-Summary'!G7</f>
        <v>2220000</v>
      </c>
      <c r="E30" s="51">
        <f>'Financial-Summary'!G8</f>
        <v>2178000</v>
      </c>
      <c r="F30" s="51">
        <f>'Financial-Summary'!G9</f>
        <v>2208000</v>
      </c>
      <c r="G30" s="51">
        <f>'Financial-Summary'!G10</f>
        <v>2539200</v>
      </c>
      <c r="H30" s="51">
        <f>'Financial-Summary'!G11</f>
        <v>2539200</v>
      </c>
    </row>
    <row r="31" ht="15.75" customHeight="1">
      <c r="B31" s="45" t="s">
        <v>73</v>
      </c>
      <c r="C31" s="52">
        <f>'Financial-Summary'!H6</f>
        <v>0</v>
      </c>
      <c r="D31" s="52">
        <f>'Financial-Summary'!H7</f>
        <v>500000</v>
      </c>
      <c r="E31" s="52">
        <f>'Financial-Summary'!H8</f>
        <v>1000000</v>
      </c>
      <c r="F31" s="52">
        <f>'Financial-Summary'!H9</f>
        <v>600000</v>
      </c>
      <c r="G31" s="52">
        <f>'Financial-Summary'!H10</f>
        <v>2000000</v>
      </c>
      <c r="H31" s="52">
        <f>'Financial-Summary'!H11</f>
        <v>3000000</v>
      </c>
    </row>
    <row r="32" ht="15.75" customHeight="1">
      <c r="B32" s="47" t="s">
        <v>74</v>
      </c>
      <c r="C32" s="51">
        <f>'Financial-Summary'!I6</f>
        <v>500000</v>
      </c>
      <c r="D32" s="51">
        <f>'Financial-Summary'!I7</f>
        <v>575000</v>
      </c>
      <c r="E32" s="51">
        <f>'Financial-Summary'!I8</f>
        <v>661250</v>
      </c>
      <c r="F32" s="51">
        <f>'Financial-Summary'!I9</f>
        <v>760437.5</v>
      </c>
      <c r="G32" s="51">
        <f>'Financial-Summary'!I10</f>
        <v>874503.125</v>
      </c>
      <c r="H32" s="51">
        <f>'Financial-Summary'!I11</f>
        <v>1005678.59375</v>
      </c>
    </row>
    <row r="33" ht="15.75" customHeight="1">
      <c r="B33" s="45" t="s">
        <v>75</v>
      </c>
      <c r="C33" s="52">
        <f>'Financial-Summary'!J6</f>
        <v>1000000</v>
      </c>
      <c r="D33" s="52">
        <f>'Financial-Summary'!J7</f>
        <v>1150000</v>
      </c>
      <c r="E33" s="52">
        <f>'Financial-Summary'!J8</f>
        <v>1322500</v>
      </c>
      <c r="F33" s="52">
        <f>'Financial-Summary'!J9</f>
        <v>1520875</v>
      </c>
      <c r="G33" s="52">
        <f>'Financial-Summary'!J10</f>
        <v>1749006.25</v>
      </c>
      <c r="H33" s="52">
        <f>'Financial-Summary'!J11</f>
        <v>2011357.1875</v>
      </c>
    </row>
    <row r="34" ht="15.75" customHeight="1">
      <c r="B34" s="47" t="s">
        <v>76</v>
      </c>
      <c r="C34" s="51">
        <f>'Financial-Summary'!K6</f>
        <v>400000</v>
      </c>
      <c r="D34" s="51">
        <f>'Financial-Summary'!K7</f>
        <v>480000</v>
      </c>
      <c r="E34" s="51">
        <f>'Financial-Summary'!K8</f>
        <v>576000</v>
      </c>
      <c r="F34" s="51">
        <f>'Financial-Summary'!K9</f>
        <v>691200</v>
      </c>
      <c r="G34" s="51">
        <f>'Financial-Summary'!K10</f>
        <v>829440</v>
      </c>
      <c r="H34" s="51">
        <f>'Financial-Summary'!K11</f>
        <v>995328</v>
      </c>
    </row>
    <row r="35" ht="15.75" customHeight="1">
      <c r="B35" s="53" t="s">
        <v>15</v>
      </c>
      <c r="C35" s="54">
        <f t="shared" si="2"/>
        <v>6748000</v>
      </c>
      <c r="D35" s="54">
        <f t="shared" si="2"/>
        <v>8964200</v>
      </c>
      <c r="E35" s="54">
        <f t="shared" si="2"/>
        <v>11660330.6451613</v>
      </c>
      <c r="F35" s="54">
        <f t="shared" si="2"/>
        <v>14447593.5810811</v>
      </c>
      <c r="G35" s="54">
        <f t="shared" si="2"/>
        <v>20428845.0271739</v>
      </c>
      <c r="H35" s="54">
        <f t="shared" si="2"/>
        <v>25484563.7812501</v>
      </c>
    </row>
    <row r="36" ht="15.75" customHeight="1">
      <c r="B36" s="55" t="s">
        <v>16</v>
      </c>
      <c r="C36" s="56">
        <f t="shared" si="3" ref="C36:H36">C28-C35</f>
        <v>752000</v>
      </c>
      <c r="D36" s="56">
        <f t="shared" si="3"/>
        <v>1101748.2758621</v>
      </c>
      <c r="E36" s="56">
        <f t="shared" si="3"/>
        <v>3543240.7834101</v>
      </c>
      <c r="F36" s="56">
        <f t="shared" si="3"/>
        <v>5461064.9555042</v>
      </c>
      <c r="G36" s="56">
        <f t="shared" si="3"/>
        <v>6070154.9728261</v>
      </c>
      <c r="H36" s="56">
        <f t="shared" si="3"/>
        <v>7297936.21875</v>
      </c>
    </row>
    <row r="37" ht="15.75" customHeight="1">
      <c r="B37" s="43" t="s">
        <v>77</v>
      </c>
      <c r="C37" s="57">
        <f t="shared" si="4" ref="C37:H37">C36/C28</f>
        <v>0.100266666666667</v>
      </c>
      <c r="D37" s="57">
        <f t="shared" si="4"/>
        <v>0.109453003896718</v>
      </c>
      <c r="E37" s="57">
        <f t="shared" si="4"/>
        <v>0.233053187539307</v>
      </c>
      <c r="F37" s="57">
        <f t="shared" si="4"/>
        <v>0.274306023455505</v>
      </c>
      <c r="G37" s="57">
        <f t="shared" si="4"/>
        <v>0.22907109599706</v>
      </c>
      <c r="H37" s="57">
        <f t="shared" si="4"/>
        <v>0.222616829672843</v>
      </c>
    </row>
    <row r="39" ht="19.5" customHeight="1">
      <c r="B39" s="12" t="s">
        <v>78</v>
      </c>
    </row>
    <row r="41" ht="15" customHeight="1">
      <c r="B41" s="4"/>
      <c r="C41" s="4" t="s">
        <v>57</v>
      </c>
      <c r="D41" s="4" t="s">
        <v>22</v>
      </c>
      <c r="E41" s="4" t="s">
        <v>23</v>
      </c>
      <c r="F41" s="4" t="s">
        <v>24</v>
      </c>
      <c r="G41" s="4" t="s">
        <v>25</v>
      </c>
      <c r="H41" s="4" t="s">
        <v>26</v>
      </c>
    </row>
    <row r="42" ht="15.75" customHeight="1">
      <c r="B42" s="45" t="s">
        <v>79</v>
      </c>
      <c r="C42" s="52">
        <f>'Financial-Summary'!M6</f>
        <v>-1248000</v>
      </c>
      <c r="D42" s="52">
        <f>'Financial-Summary'!M7</f>
        <v>-646137.93103447</v>
      </c>
      <c r="E42" s="52">
        <f>'Financial-Summary'!M8</f>
        <v>1934535.7142857</v>
      </c>
      <c r="F42" s="52">
        <f>'Financial-Summary'!M9</f>
        <v>2795536.2804878</v>
      </c>
      <c r="G42" s="52">
        <f>'Financial-Summary'!M10</f>
        <v>2699850.625</v>
      </c>
      <c r="H42" s="52">
        <f>'Financial-Summary'!M11</f>
        <v>3354436.21875</v>
      </c>
    </row>
    <row r="43" ht="15.75" customHeight="1">
      <c r="B43" s="58" t="s">
        <v>80</v>
      </c>
      <c r="C43" s="59">
        <f t="shared" si="5" ref="C43:H43">C36</f>
        <v>752000</v>
      </c>
      <c r="D43" s="59">
        <f t="shared" si="5"/>
        <v>1101748.2758621</v>
      </c>
      <c r="E43" s="59">
        <f t="shared" si="5"/>
        <v>3543240.7834101</v>
      </c>
      <c r="F43" s="59">
        <f t="shared" si="5"/>
        <v>5461064.9555042</v>
      </c>
      <c r="G43" s="59">
        <f t="shared" si="5"/>
        <v>6070154.9728261</v>
      </c>
      <c r="H43" s="59">
        <f t="shared" si="5"/>
        <v>7297936.21875</v>
      </c>
    </row>
    <row r="44" ht="15.75" customHeight="1">
      <c r="B44" s="60" t="s">
        <v>81</v>
      </c>
      <c r="C44" s="61">
        <f t="shared" si="6" ref="C44:H44">C43-C42</f>
        <v>2000000</v>
      </c>
      <c r="D44" s="61">
        <f t="shared" si="6"/>
        <v>1747886.20689657</v>
      </c>
      <c r="E44" s="61">
        <f t="shared" si="6"/>
        <v>1608705.0691244</v>
      </c>
      <c r="F44" s="61">
        <f t="shared" si="6"/>
        <v>2665528.6750164</v>
      </c>
      <c r="G44" s="61">
        <f t="shared" si="6"/>
        <v>3370304.3478261</v>
      </c>
      <c r="H44" s="61">
        <f t="shared" si="6"/>
        <v>3943500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89C3661-53B9-FA58-372D-547E8B7E5504}" mc:Ignorable="x14ac xr xr2 xr3">
  <dimension ref="A1:CV10002"/>
  <sheetViews>
    <sheetView showGridLines="0" topLeftCell="A1" workbookViewId="0">
      <pane ySplit="4" topLeftCell="A68" activePane="bottomLeft" state="frozen"/>
      <selection pane="bottomLeft" activeCell="G79" sqref="G79"/>
    </sheetView>
  </sheetViews>
  <sheetFormatPr defaultRowHeight="15" defaultColWidth="8.8515625" customHeight="1"/>
  <cols>
    <col min="1" max="1" width="1.421875" customWidth="1"/>
    <col min="2" max="2" width="31.421875" customWidth="1"/>
    <col min="3" max="8" width="15.7109375" customWidth="1"/>
    <col min="9" max="9" width="17.140625" customWidth="1"/>
  </cols>
  <sheetData>
    <row r="2" ht="24" customHeight="1">
      <c r="B2" s="1" t="s">
        <v>82</v>
      </c>
    </row>
    <row r="3" ht="15.75" customHeight="1">
      <c r="B3" s="2" t="s">
        <v>83</v>
      </c>
    </row>
    <row r="4" ht="15" customHeight="1">
      <c r="B4" s="3"/>
      <c r="C4" s="3"/>
      <c r="D4" s="3"/>
      <c r="E4" s="3"/>
      <c r="F4" s="3"/>
      <c r="G4" s="3"/>
      <c r="H4" s="3"/>
      <c r="I4" s="3"/>
    </row>
    <row r="6" ht="19.5" customHeight="1">
      <c r="B6" s="12" t="s">
        <v>84</v>
      </c>
    </row>
    <row r="7" ht="15" customHeight="1">
      <c r="B7" s="4"/>
      <c r="C7" s="4" t="s">
        <v>57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26</v>
      </c>
    </row>
    <row r="8" ht="15.75" customHeight="1">
      <c r="B8" s="47" t="s">
        <v>85</v>
      </c>
      <c r="C8" s="62">
        <v>800</v>
      </c>
      <c r="D8" s="62">
        <f t="shared" si="0" ref="D8:H9">C8*1.1</f>
        <v>880</v>
      </c>
      <c r="E8" s="62">
        <f t="shared" si="0"/>
        <v>968</v>
      </c>
      <c r="F8" s="62">
        <f t="shared" si="1" ref="F8:G9">E8*1.15</f>
        <v>1113.2</v>
      </c>
      <c r="G8" s="62">
        <f t="shared" si="1"/>
        <v>1280.18</v>
      </c>
      <c r="H8" s="62">
        <f t="shared" si="0"/>
        <v>1408.198</v>
      </c>
    </row>
    <row r="9" ht="15.75" customHeight="1">
      <c r="B9" s="45" t="s">
        <v>86</v>
      </c>
      <c r="C9" s="63">
        <v>0</v>
      </c>
      <c r="D9" s="63">
        <v>500</v>
      </c>
      <c r="E9" s="63">
        <f t="shared" si="0"/>
        <v>550</v>
      </c>
      <c r="F9" s="63">
        <f t="shared" si="1"/>
        <v>632.5</v>
      </c>
      <c r="G9" s="63">
        <f t="shared" si="1"/>
        <v>727.375</v>
      </c>
      <c r="H9" s="63">
        <f t="shared" si="0"/>
        <v>800.1125</v>
      </c>
    </row>
    <row r="10" ht="15.75" customHeight="1">
      <c r="B10" s="47" t="s">
        <v>87</v>
      </c>
      <c r="C10" s="64">
        <v>3</v>
      </c>
      <c r="D10" s="64">
        <v>3</v>
      </c>
      <c r="E10" s="64">
        <v>3</v>
      </c>
      <c r="F10" s="64">
        <v>3</v>
      </c>
      <c r="G10" s="64">
        <v>3</v>
      </c>
      <c r="H10" s="64">
        <v>3</v>
      </c>
    </row>
    <row r="11" ht="15.75" customHeight="1">
      <c r="B11" s="45" t="s">
        <v>88</v>
      </c>
      <c r="C11" s="65">
        <v>26</v>
      </c>
      <c r="D11" s="65">
        <v>26</v>
      </c>
      <c r="E11" s="65">
        <v>28</v>
      </c>
      <c r="F11" s="65">
        <v>28</v>
      </c>
      <c r="G11" s="65">
        <v>30</v>
      </c>
      <c r="H11" s="65">
        <v>30</v>
      </c>
    </row>
    <row r="12" ht="15.75" customHeight="1">
      <c r="B12" s="47" t="s">
        <v>89</v>
      </c>
      <c r="C12" s="66">
        <v>0.25</v>
      </c>
      <c r="D12" s="66">
        <v>0.4</v>
      </c>
      <c r="E12" s="66">
        <v>0.55</v>
      </c>
      <c r="F12" s="66">
        <v>0.65</v>
      </c>
      <c r="G12" s="66">
        <v>0.75</v>
      </c>
      <c r="H12" s="66">
        <v>0.85</v>
      </c>
    </row>
    <row r="14" ht="19.5" customHeight="1">
      <c r="B14" s="12" t="s">
        <v>90</v>
      </c>
    </row>
    <row r="16" ht="15" customHeight="1">
      <c r="B16" s="4"/>
      <c r="C16" s="4" t="s">
        <v>57</v>
      </c>
      <c r="D16" s="4" t="s">
        <v>22</v>
      </c>
      <c r="E16" s="4" t="s">
        <v>23</v>
      </c>
      <c r="F16" s="4" t="s">
        <v>24</v>
      </c>
      <c r="G16" s="4" t="s">
        <v>25</v>
      </c>
      <c r="H16" s="4" t="s">
        <v>26</v>
      </c>
    </row>
    <row r="17" ht="15.75" customHeight="1">
      <c r="B17" s="47" t="s">
        <v>91</v>
      </c>
      <c r="C17" s="51">
        <f t="shared" si="2" ref="C17:H17">C8*C10*C11*12*C12</f>
        <v>187200</v>
      </c>
      <c r="D17" s="51">
        <f t="shared" si="2"/>
        <v>329472</v>
      </c>
      <c r="E17" s="51">
        <f t="shared" si="2"/>
        <v>536659.2</v>
      </c>
      <c r="F17" s="51">
        <f t="shared" si="2"/>
        <v>729368.64</v>
      </c>
      <c r="G17" s="51">
        <f t="shared" si="2"/>
        <v>1036945.8</v>
      </c>
      <c r="H17" s="51">
        <f t="shared" si="2"/>
        <v>1292725.764</v>
      </c>
    </row>
    <row r="18" ht="15.75" customHeight="1">
      <c r="B18" s="45" t="s">
        <v>92</v>
      </c>
      <c r="C18" s="52">
        <v>0</v>
      </c>
      <c r="D18" s="52">
        <f t="shared" si="3" ref="D18:H18">D9*2*D10*D11*12*D12</f>
        <v>374400</v>
      </c>
      <c r="E18" s="52">
        <f t="shared" si="3"/>
        <v>609840</v>
      </c>
      <c r="F18" s="52">
        <f t="shared" si="3"/>
        <v>828828</v>
      </c>
      <c r="G18" s="52">
        <f t="shared" si="3"/>
        <v>1178347.5</v>
      </c>
      <c r="H18" s="52">
        <f t="shared" si="3"/>
        <v>1469006.55</v>
      </c>
    </row>
    <row r="19" ht="15" customHeight="1">
      <c r="B19" s="67" t="s">
        <v>93</v>
      </c>
      <c r="C19" s="68">
        <v>20</v>
      </c>
      <c r="D19" s="68">
        <v>50</v>
      </c>
      <c r="E19" s="68">
        <v>90</v>
      </c>
      <c r="F19" s="68">
        <v>140</v>
      </c>
      <c r="G19" s="68">
        <v>200</v>
      </c>
      <c r="H19" s="68">
        <v>280</v>
      </c>
    </row>
    <row r="20" ht="15" customHeight="1">
      <c r="B20" s="69" t="s">
        <v>94</v>
      </c>
      <c r="C20" s="70">
        <v>1000</v>
      </c>
      <c r="D20" s="70">
        <v>1200</v>
      </c>
      <c r="E20" s="70">
        <v>1500</v>
      </c>
      <c r="F20" s="70">
        <v>1800</v>
      </c>
      <c r="G20" s="70">
        <v>2000</v>
      </c>
      <c r="H20" s="70">
        <v>2500</v>
      </c>
    </row>
    <row r="21" ht="15.75" customHeight="1">
      <c r="B21" s="47" t="s">
        <v>95</v>
      </c>
      <c r="C21" s="51">
        <f t="shared" si="4" ref="C21:H21">C19*C20*12</f>
        <v>240000</v>
      </c>
      <c r="D21" s="51">
        <f t="shared" si="4"/>
        <v>720000</v>
      </c>
      <c r="E21" s="51">
        <f t="shared" si="4"/>
        <v>1620000</v>
      </c>
      <c r="F21" s="51">
        <f t="shared" si="4"/>
        <v>3024000</v>
      </c>
      <c r="G21" s="51">
        <f t="shared" si="4"/>
        <v>4800000</v>
      </c>
      <c r="H21" s="51">
        <f t="shared" si="4"/>
        <v>8400000</v>
      </c>
    </row>
    <row r="22" ht="15.75" customHeight="1">
      <c r="B22" s="45" t="s">
        <v>96</v>
      </c>
      <c r="C22" s="52">
        <v>0</v>
      </c>
      <c r="D22" s="52">
        <v>100000</v>
      </c>
      <c r="E22" s="52">
        <v>300000</v>
      </c>
      <c r="F22" s="52">
        <v>500000</v>
      </c>
      <c r="G22" s="52">
        <v>800000</v>
      </c>
      <c r="H22" s="52">
        <v>1200000</v>
      </c>
    </row>
    <row r="23" ht="15.75" customHeight="1">
      <c r="B23" s="47" t="s">
        <v>97</v>
      </c>
      <c r="C23" s="51">
        <v>0</v>
      </c>
      <c r="D23" s="51">
        <v>50000</v>
      </c>
      <c r="E23" s="51">
        <v>150000</v>
      </c>
      <c r="F23" s="51">
        <v>300000</v>
      </c>
      <c r="G23" s="51">
        <v>500000</v>
      </c>
      <c r="H23" s="51">
        <v>800000</v>
      </c>
    </row>
    <row r="24" ht="15.75" customHeight="1">
      <c r="B24" s="71" t="s">
        <v>98</v>
      </c>
      <c r="C24" s="72">
        <f t="shared" si="5" ref="C24:H24">SUM(C17:C23)</f>
        <v>428220</v>
      </c>
      <c r="D24" s="72">
        <f t="shared" si="5"/>
        <v>1575122</v>
      </c>
      <c r="E24" s="72">
        <f t="shared" si="5"/>
        <v>3218089.2</v>
      </c>
      <c r="F24" s="72">
        <f t="shared" si="5"/>
        <v>5384136.64</v>
      </c>
      <c r="G24" s="72">
        <f t="shared" si="5"/>
        <v>8317493.3</v>
      </c>
      <c r="H24" s="72">
        <f t="shared" si="5"/>
        <v>13164512.314</v>
      </c>
    </row>
    <row r="26" ht="19.5" customHeight="1">
      <c r="B26" s="12" t="s">
        <v>99</v>
      </c>
    </row>
    <row r="28" ht="15" customHeight="1">
      <c r="B28" s="4"/>
      <c r="C28" s="4" t="s">
        <v>57</v>
      </c>
      <c r="D28" s="4" t="s">
        <v>22</v>
      </c>
      <c r="E28" s="4" t="s">
        <v>23</v>
      </c>
      <c r="F28" s="4" t="s">
        <v>24</v>
      </c>
      <c r="G28" s="4" t="s">
        <v>25</v>
      </c>
      <c r="H28" s="4" t="s">
        <v>26</v>
      </c>
    </row>
    <row r="29" ht="15.75" customHeight="1">
      <c r="B29" s="47" t="s">
        <v>100</v>
      </c>
      <c r="C29" s="51">
        <v>100000</v>
      </c>
      <c r="D29" s="51">
        <v>120000</v>
      </c>
      <c r="E29" s="51">
        <v>150000</v>
      </c>
      <c r="F29" s="51">
        <v>180000</v>
      </c>
      <c r="G29" s="51">
        <v>200000</v>
      </c>
      <c r="H29" s="51">
        <v>250000</v>
      </c>
    </row>
    <row r="30" ht="15.75" customHeight="1">
      <c r="B30" s="45" t="s">
        <v>101</v>
      </c>
      <c r="C30" s="52">
        <v>360000</v>
      </c>
      <c r="D30" s="52">
        <v>600000</v>
      </c>
      <c r="E30" s="52">
        <v>900000</v>
      </c>
      <c r="F30" s="52">
        <v>1200000</v>
      </c>
      <c r="G30" s="52">
        <v>1500000</v>
      </c>
      <c r="H30" s="52">
        <v>1920000</v>
      </c>
    </row>
    <row r="31" ht="15.75" customHeight="1">
      <c r="B31" s="47" t="s">
        <v>102</v>
      </c>
      <c r="C31" s="51">
        <v>60000</v>
      </c>
      <c r="D31" s="51">
        <v>80000</v>
      </c>
      <c r="E31" s="51">
        <v>100000</v>
      </c>
      <c r="F31" s="51">
        <v>120000</v>
      </c>
      <c r="G31" s="51">
        <v>150000</v>
      </c>
      <c r="H31" s="51">
        <v>180000</v>
      </c>
    </row>
    <row r="32" ht="15.75" customHeight="1">
      <c r="B32" s="45" t="s">
        <v>103</v>
      </c>
      <c r="C32" s="52">
        <v>50000</v>
      </c>
      <c r="D32" s="52">
        <v>80000</v>
      </c>
      <c r="E32" s="52">
        <v>100000</v>
      </c>
      <c r="F32" s="52">
        <v>120000</v>
      </c>
      <c r="G32" s="52">
        <v>150000</v>
      </c>
      <c r="H32" s="52">
        <v>200000</v>
      </c>
    </row>
    <row r="33" ht="15.75" customHeight="1">
      <c r="B33" s="73" t="s">
        <v>104</v>
      </c>
      <c r="C33" s="74">
        <f t="shared" si="6" ref="C33:H33">SUM(C29:C32)</f>
        <v>570000</v>
      </c>
      <c r="D33" s="74">
        <f t="shared" si="6"/>
        <v>880000</v>
      </c>
      <c r="E33" s="74">
        <f t="shared" si="6"/>
        <v>1250000</v>
      </c>
      <c r="F33" s="74">
        <f t="shared" si="6"/>
        <v>1620000</v>
      </c>
      <c r="G33" s="74">
        <f t="shared" si="6"/>
        <v>2000000</v>
      </c>
      <c r="H33" s="74">
        <f t="shared" si="6"/>
        <v>2550000</v>
      </c>
    </row>
    <row r="35" ht="19.5" customHeight="1">
      <c r="B35" s="75" t="s">
        <v>105</v>
      </c>
    </row>
    <row r="37" ht="15" customHeight="1">
      <c r="B37" s="4"/>
      <c r="C37" s="4" t="s">
        <v>57</v>
      </c>
      <c r="D37" s="4" t="s">
        <v>22</v>
      </c>
      <c r="E37" s="4" t="s">
        <v>23</v>
      </c>
      <c r="F37" s="4" t="s">
        <v>24</v>
      </c>
      <c r="G37" s="4" t="s">
        <v>25</v>
      </c>
      <c r="H37" s="4" t="s">
        <v>26</v>
      </c>
      <c r="I37" s="4" t="s">
        <v>106</v>
      </c>
    </row>
    <row r="38" ht="15.75" customHeight="1">
      <c r="B38" s="47" t="s">
        <v>107</v>
      </c>
      <c r="C38" s="51">
        <f t="shared" si="7" ref="C38:H38">C24</f>
        <v>428220</v>
      </c>
      <c r="D38" s="51">
        <f t="shared" si="7"/>
        <v>1575122</v>
      </c>
      <c r="E38" s="51">
        <f t="shared" si="7"/>
        <v>3218089.2</v>
      </c>
      <c r="F38" s="51">
        <f t="shared" si="7"/>
        <v>5384136.64</v>
      </c>
      <c r="G38" s="51">
        <f t="shared" si="7"/>
        <v>8317493.3</v>
      </c>
      <c r="H38" s="51">
        <f t="shared" si="7"/>
        <v>13164512.314</v>
      </c>
      <c r="I38" s="51">
        <f t="shared" si="9" ref="I38:I67">SUM(C38:H38)</f>
        <v>32087573.454</v>
      </c>
    </row>
    <row r="39" ht="15.75" customHeight="1">
      <c r="B39" s="45" t="s">
        <v>108</v>
      </c>
      <c r="C39" s="52">
        <f t="shared" si="8" ref="C39:H39">C33</f>
        <v>570000</v>
      </c>
      <c r="D39" s="52">
        <f t="shared" si="8"/>
        <v>880000</v>
      </c>
      <c r="E39" s="52">
        <f t="shared" si="8"/>
        <v>1250000</v>
      </c>
      <c r="F39" s="52">
        <f t="shared" si="8"/>
        <v>1620000</v>
      </c>
      <c r="G39" s="52">
        <f t="shared" si="8"/>
        <v>2000000</v>
      </c>
      <c r="H39" s="52">
        <f t="shared" si="8"/>
        <v>2550000</v>
      </c>
      <c r="I39" s="52">
        <f t="shared" si="9"/>
        <v>8870000</v>
      </c>
    </row>
    <row r="40" ht="16.5" customHeight="1">
      <c r="B40" s="76" t="s">
        <v>109</v>
      </c>
      <c r="C40" s="77">
        <f t="shared" si="10" ref="C40:H40">C38-C39</f>
        <v>-141780</v>
      </c>
      <c r="D40" s="77">
        <f t="shared" si="10"/>
        <v>695122</v>
      </c>
      <c r="E40" s="77">
        <f t="shared" si="10"/>
        <v>1968089.2</v>
      </c>
      <c r="F40" s="77">
        <f t="shared" si="10"/>
        <v>3764136.64</v>
      </c>
      <c r="G40" s="77">
        <f t="shared" si="10"/>
        <v>6317493.3</v>
      </c>
      <c r="H40" s="77">
        <f t="shared" si="10"/>
        <v>10614512.314</v>
      </c>
      <c r="I40" s="77">
        <f t="shared" si="9"/>
        <v>23217573.454</v>
      </c>
    </row>
    <row r="41" ht="15.75" customHeight="1">
      <c r="B41" s="43" t="s">
        <v>77</v>
      </c>
      <c r="C41" s="57">
        <f t="shared" si="11" ref="C41:I41">C40/C38</f>
        <v>-0.331091495025921</v>
      </c>
      <c r="D41" s="57">
        <f t="shared" si="11"/>
        <v>0.441313117333134</v>
      </c>
      <c r="E41" s="57">
        <f t="shared" si="11"/>
        <v>0.611570742041582</v>
      </c>
      <c r="F41" s="57">
        <f t="shared" si="11"/>
        <v>0.699116105641777</v>
      </c>
      <c r="G41" s="57">
        <f t="shared" si="11"/>
        <v>0.759542938255207</v>
      </c>
      <c r="H41" s="57">
        <f t="shared" si="11"/>
        <v>0.806297419974444</v>
      </c>
      <c r="I41" s="57">
        <f t="shared" si="11"/>
        <v>0.723569000544219</v>
      </c>
    </row>
    <row r="42" ht="15.75" customHeight="1">
      <c r="B42" s="45" t="s">
        <v>110</v>
      </c>
      <c r="C42" s="52">
        <f t="shared" si="12" ref="C42:H42">C38/12</f>
        <v>35685</v>
      </c>
      <c r="D42" s="52">
        <f t="shared" si="12"/>
        <v>131260.166666667</v>
      </c>
      <c r="E42" s="52">
        <f t="shared" si="12"/>
        <v>268174.1</v>
      </c>
      <c r="F42" s="52">
        <f t="shared" si="12"/>
        <v>448678.053333333</v>
      </c>
      <c r="G42" s="52">
        <f t="shared" si="12"/>
        <v>693124.441666667</v>
      </c>
      <c r="H42" s="52">
        <f t="shared" si="12"/>
        <v>1097042.69283333</v>
      </c>
      <c r="I42" s="39"/>
    </row>
    <row r="44" ht="15.75" customHeight="1">
      <c r="B44" s="78" t="s">
        <v>111</v>
      </c>
    </row>
    <row r="47" ht="24" customHeight="1">
      <c r="B47" s="1" t="s">
        <v>112</v>
      </c>
    </row>
    <row r="48" ht="15.75" customHeight="1">
      <c r="B48" s="2" t="s">
        <v>113</v>
      </c>
    </row>
    <row r="49" ht="15" customHeight="1">
      <c r="B49" s="3"/>
      <c r="C49" s="3"/>
      <c r="D49" s="3"/>
      <c r="E49" s="3"/>
      <c r="F49" s="3"/>
      <c r="G49" s="3"/>
      <c r="H49" s="3"/>
      <c r="I49" s="3"/>
    </row>
    <row r="51" ht="15" customHeight="1">
      <c r="B51" s="4"/>
      <c r="C51" s="4" t="s">
        <v>57</v>
      </c>
      <c r="D51" s="4" t="s">
        <v>22</v>
      </c>
      <c r="E51" s="4" t="s">
        <v>23</v>
      </c>
      <c r="F51" s="4" t="s">
        <v>24</v>
      </c>
      <c r="G51" s="4" t="s">
        <v>25</v>
      </c>
      <c r="H51" s="4" t="s">
        <v>26</v>
      </c>
      <c r="I51" s="4" t="s">
        <v>106</v>
      </c>
    </row>
    <row r="52" ht="15.75" customHeight="1">
      <c r="B52" s="45" t="s">
        <v>114</v>
      </c>
      <c r="C52" s="52">
        <f>'Financial-Summary'!M6</f>
        <v>-1248000</v>
      </c>
      <c r="D52" s="52">
        <f>'Financial-Summary'!M7</f>
        <v>-646137.93103447</v>
      </c>
      <c r="E52" s="52">
        <f>'Financial-Summary'!M8</f>
        <v>1934535.7142857</v>
      </c>
      <c r="F52" s="52">
        <f>'Financial-Summary'!M9</f>
        <v>2795536.2804878</v>
      </c>
      <c r="G52" s="52">
        <f>'Financial-Summary'!M10</f>
        <v>2699850.625</v>
      </c>
      <c r="H52" s="52">
        <f>'Financial-Summary'!M11</f>
        <v>3354436.21875</v>
      </c>
      <c r="I52" s="52">
        <f t="shared" si="9"/>
        <v>8890220.90748903</v>
      </c>
    </row>
    <row r="53" ht="15.75" customHeight="1">
      <c r="B53" s="58" t="s">
        <v>115</v>
      </c>
      <c r="C53" s="59">
        <f>'Moderate-Growth'!C36</f>
        <v>752000</v>
      </c>
      <c r="D53" s="59">
        <f>'Moderate-Growth'!D36</f>
        <v>1101748.2758621</v>
      </c>
      <c r="E53" s="59">
        <f>'Moderate-Growth'!E36</f>
        <v>3543240.7834101</v>
      </c>
      <c r="F53" s="59">
        <f>'Moderate-Growth'!F36</f>
        <v>5461064.9555042</v>
      </c>
      <c r="G53" s="59">
        <f>'Moderate-Growth'!G36</f>
        <v>6070154.9728261</v>
      </c>
      <c r="H53" s="59">
        <f>'Moderate-Growth'!H36</f>
        <v>7297936.21875</v>
      </c>
      <c r="I53" s="59">
        <f t="shared" si="9"/>
        <v>24226145.2063525</v>
      </c>
    </row>
    <row r="54" ht="15.75" customHeight="1">
      <c r="B54" s="79" t="s">
        <v>116</v>
      </c>
      <c r="C54" s="80">
        <f>'Bullish-Growth'!C36</f>
        <v>752000</v>
      </c>
      <c r="D54" s="80">
        <f>'Bullish-Growth'!D36</f>
        <v>1649634.4827586</v>
      </c>
      <c r="E54" s="80">
        <f>'Bullish-Growth'!E36</f>
        <v>5151945.8525346</v>
      </c>
      <c r="F54" s="80">
        <f>'Bullish-Growth'!F36</f>
        <v>7894808.5283454</v>
      </c>
      <c r="G54" s="80">
        <f>'Bullish-Growth'!G36</f>
        <v>9440459.3206522</v>
      </c>
      <c r="H54" s="80">
        <f>'Bullish-Growth'!H36</f>
        <v>12436436.2187499</v>
      </c>
      <c r="I54" s="80">
        <f t="shared" si="9"/>
        <v>37325284.4030407</v>
      </c>
    </row>
    <row r="55" ht="15.75" customHeight="1">
      <c r="B55" s="81" t="s">
        <v>117</v>
      </c>
      <c r="C55" s="82">
        <f t="shared" si="13" ref="C55:H55">C40</f>
        <v>-141780</v>
      </c>
      <c r="D55" s="82">
        <f t="shared" si="13"/>
        <v>695122</v>
      </c>
      <c r="E55" s="82">
        <f t="shared" si="13"/>
        <v>1968089.2</v>
      </c>
      <c r="F55" s="82">
        <f t="shared" si="13"/>
        <v>3764136.64</v>
      </c>
      <c r="G55" s="82">
        <f t="shared" si="13"/>
        <v>6317493.3</v>
      </c>
      <c r="H55" s="82">
        <f t="shared" si="13"/>
        <v>10614512.314</v>
      </c>
      <c r="I55" s="82">
        <f t="shared" si="9"/>
        <v>23217573.454</v>
      </c>
    </row>
    <row r="57" ht="19.5" customHeight="1">
      <c r="B57" s="12" t="s">
        <v>118</v>
      </c>
    </row>
    <row r="59" ht="15" customHeight="1">
      <c r="B59" s="4"/>
      <c r="C59" s="4" t="s">
        <v>57</v>
      </c>
      <c r="D59" s="4" t="s">
        <v>22</v>
      </c>
      <c r="E59" s="4" t="s">
        <v>23</v>
      </c>
      <c r="F59" s="4" t="s">
        <v>24</v>
      </c>
      <c r="G59" s="4" t="s">
        <v>25</v>
      </c>
      <c r="H59" s="4" t="s">
        <v>26</v>
      </c>
      <c r="I59" s="4" t="s">
        <v>106</v>
      </c>
    </row>
    <row r="60" ht="15.75" customHeight="1">
      <c r="B60" s="45" t="s">
        <v>119</v>
      </c>
      <c r="C60" s="52">
        <f t="shared" si="14" ref="C60:H60">C52+C55</f>
        <v>-1389780</v>
      </c>
      <c r="D60" s="52">
        <f t="shared" si="14"/>
        <v>48984.06896553</v>
      </c>
      <c r="E60" s="52">
        <f t="shared" si="14"/>
        <v>3902624.9142857</v>
      </c>
      <c r="F60" s="52">
        <f t="shared" si="14"/>
        <v>6559672.9204878</v>
      </c>
      <c r="G60" s="52">
        <f t="shared" si="14"/>
        <v>9017343.925</v>
      </c>
      <c r="H60" s="52">
        <f t="shared" si="14"/>
        <v>13968948.53275</v>
      </c>
      <c r="I60" s="52">
        <f t="shared" si="9"/>
        <v>32107794.361489</v>
      </c>
    </row>
    <row r="61" ht="15.75" customHeight="1">
      <c r="B61" s="58" t="s">
        <v>120</v>
      </c>
      <c r="C61" s="59">
        <f t="shared" si="15" ref="C61:H61">C53+C55</f>
        <v>610220</v>
      </c>
      <c r="D61" s="59">
        <f t="shared" si="15"/>
        <v>1796870.2758621</v>
      </c>
      <c r="E61" s="59">
        <f t="shared" si="15"/>
        <v>5511329.9834101</v>
      </c>
      <c r="F61" s="59">
        <f t="shared" si="15"/>
        <v>9225201.5955042</v>
      </c>
      <c r="G61" s="59">
        <f t="shared" si="15"/>
        <v>12387648.2728261</v>
      </c>
      <c r="H61" s="59">
        <f t="shared" si="15"/>
        <v>17912448.53275</v>
      </c>
      <c r="I61" s="59">
        <f t="shared" si="9"/>
        <v>47443718.6603525</v>
      </c>
    </row>
    <row r="62" ht="15.75" customHeight="1">
      <c r="B62" s="83" t="s">
        <v>121</v>
      </c>
      <c r="C62" s="84">
        <f t="shared" si="16" ref="C62:H62">C54+C55</f>
        <v>610220</v>
      </c>
      <c r="D62" s="84">
        <f t="shared" si="16"/>
        <v>2344756.4827586</v>
      </c>
      <c r="E62" s="84">
        <f t="shared" si="16"/>
        <v>7120035.0525346</v>
      </c>
      <c r="F62" s="84">
        <f t="shared" si="16"/>
        <v>11658945.1683454</v>
      </c>
      <c r="G62" s="84">
        <f t="shared" si="16"/>
        <v>15757952.6206522</v>
      </c>
      <c r="H62" s="84">
        <f t="shared" si="16"/>
        <v>23050948.5327499</v>
      </c>
      <c r="I62" s="84">
        <f t="shared" si="9"/>
        <v>60542857.8570407</v>
      </c>
    </row>
    <row r="64" ht="16.5" customHeight="1">
      <c r="B64" s="85" t="s">
        <v>122</v>
      </c>
    </row>
    <row r="65" ht="15.75" customHeight="1">
      <c r="B65" s="45" t="s">
        <v>123</v>
      </c>
      <c r="C65" s="52">
        <f>C60*'Investor-Returns'!$D$8</f>
        <v>-208467</v>
      </c>
      <c r="D65" s="52">
        <f>D60*'Investor-Returns'!$D$8</f>
        <v>7347.6103448295</v>
      </c>
      <c r="E65" s="52">
        <f>E60*'Investor-Returns'!$D$8</f>
        <v>585393.737142855</v>
      </c>
      <c r="F65" s="52">
        <f>F60*'Investor-Returns'!$D$8</f>
        <v>983950.93807317</v>
      </c>
      <c r="G65" s="52">
        <f>G60*'Investor-Returns'!$D$8</f>
        <v>1352601.58875</v>
      </c>
      <c r="H65" s="52">
        <f>H60*'Investor-Returns'!$D$8</f>
        <v>2095342.2799125</v>
      </c>
      <c r="I65" s="52">
        <f t="shared" si="9"/>
        <v>4816169.15422335</v>
      </c>
    </row>
    <row r="66" ht="15.75" customHeight="1">
      <c r="B66" s="58" t="s">
        <v>124</v>
      </c>
      <c r="C66" s="59">
        <f>C61*'Investor-Returns'!$D$8</f>
        <v>91533</v>
      </c>
      <c r="D66" s="59">
        <f>D61*'Investor-Returns'!$D$8</f>
        <v>269530.541379315</v>
      </c>
      <c r="E66" s="59">
        <f>E61*'Investor-Returns'!$D$8</f>
        <v>826699.497511515</v>
      </c>
      <c r="F66" s="59">
        <f>F61*'Investor-Returns'!$D$8</f>
        <v>1383780.23932563</v>
      </c>
      <c r="G66" s="59">
        <f>G61*'Investor-Returns'!$D$8</f>
        <v>1858147.24092391</v>
      </c>
      <c r="H66" s="59">
        <f>H61*'Investor-Returns'!$D$8</f>
        <v>2686867.2799125</v>
      </c>
      <c r="I66" s="59">
        <f t="shared" si="9"/>
        <v>7116557.79905287</v>
      </c>
    </row>
    <row r="67" ht="15.75" customHeight="1">
      <c r="B67" s="83" t="s">
        <v>125</v>
      </c>
      <c r="C67" s="84">
        <f>C62*'Investor-Returns'!$D$8</f>
        <v>91533</v>
      </c>
      <c r="D67" s="84">
        <f>D62*'Investor-Returns'!$D$8</f>
        <v>351713.47241379</v>
      </c>
      <c r="E67" s="84">
        <f>E62*'Investor-Returns'!$D$8</f>
        <v>1068005.25788019</v>
      </c>
      <c r="F67" s="84">
        <f>F62*'Investor-Returns'!$D$8</f>
        <v>1748841.77525181</v>
      </c>
      <c r="G67" s="84">
        <f>G62*'Investor-Returns'!$D$8</f>
        <v>2363692.89309783</v>
      </c>
      <c r="H67" s="84">
        <f>H62*'Investor-Returns'!$D$8</f>
        <v>3457642.27991248</v>
      </c>
      <c r="I67" s="84">
        <f t="shared" si="9"/>
        <v>9081428.6785561</v>
      </c>
    </row>
    <row r="70" ht="19.5" customHeight="1">
      <c r="B70" s="75" t="s">
        <v>126</v>
      </c>
    </row>
    <row r="71" ht="15" customHeight="1">
      <c r="B71" s="86"/>
      <c r="C71" s="86"/>
      <c r="D71" s="86"/>
      <c r="E71" s="86"/>
      <c r="F71" s="86"/>
      <c r="G71" s="86"/>
      <c r="H71" s="86"/>
      <c r="I71" s="86"/>
    </row>
    <row r="73" ht="15" customHeight="1">
      <c r="B73" s="4" t="s">
        <v>127</v>
      </c>
      <c r="C73" s="4" t="s">
        <v>128</v>
      </c>
      <c r="D73" s="4" t="s">
        <v>129</v>
      </c>
      <c r="E73" s="4" t="s">
        <v>130</v>
      </c>
      <c r="F73" s="4" t="s">
        <v>131</v>
      </c>
      <c r="G73" s="4" t="s">
        <v>132</v>
      </c>
      <c r="H73" s="4" t="s">
        <v>50</v>
      </c>
    </row>
    <row r="74" ht="15.75" customHeight="1">
      <c r="B74" s="45" t="s">
        <v>123</v>
      </c>
      <c r="C74" s="52">
        <f t="shared" si="17" ref="C74:C76">I65</f>
        <v>4816169.15422335</v>
      </c>
      <c r="D74" s="52">
        <f>'Financial-Summary'!E11+H38</f>
        <v>38274512.314</v>
      </c>
      <c r="E74" s="52">
        <f>D74*3*'Investor-Returns'!$D$8</f>
        <v>17223530.5413</v>
      </c>
      <c r="F74" s="52">
        <f t="shared" si="18" ref="F74:F76">C74+E74</f>
        <v>22039699.6955233</v>
      </c>
      <c r="G74" s="87">
        <f>(F74-'Investor-Returns'!$D$9)/'Investor-Returns'!$D$9</f>
        <v>0.25941141117276</v>
      </c>
      <c r="H74" s="46">
        <f>F74/'Investor-Returns'!$D$9</f>
        <v>1.25941141117276</v>
      </c>
    </row>
    <row r="75" ht="15.75" customHeight="1">
      <c r="B75" s="58" t="s">
        <v>124</v>
      </c>
      <c r="C75" s="59">
        <f t="shared" si="17"/>
        <v>7116557.79905287</v>
      </c>
      <c r="D75" s="59">
        <f>'Moderate-Growth'!H28+H38</f>
        <v>45947012.3140001</v>
      </c>
      <c r="E75" s="59">
        <f>D75*3*'Investor-Returns'!$D$8</f>
        <v>20676155.5413</v>
      </c>
      <c r="F75" s="59">
        <f t="shared" si="18"/>
        <v>27792713.3403529</v>
      </c>
      <c r="G75" s="88">
        <f>(F75-'Investor-Returns'!$D$9)/'Investor-Returns'!$D$9</f>
        <v>0.588155048020166</v>
      </c>
      <c r="H75" s="89">
        <f>F75/'Investor-Returns'!$D$9</f>
        <v>1.58815504802017</v>
      </c>
    </row>
    <row r="76" ht="15.75" customHeight="1">
      <c r="B76" s="83" t="s">
        <v>125</v>
      </c>
      <c r="C76" s="84">
        <f t="shared" si="17"/>
        <v>9081428.6785561</v>
      </c>
      <c r="D76" s="84">
        <f>'Bullish-Growth'!H28+H38</f>
        <v>55944512.3139999</v>
      </c>
      <c r="E76" s="84">
        <f>D76*3*'Investor-Returns'!$D$8</f>
        <v>25175030.5413</v>
      </c>
      <c r="F76" s="84">
        <f t="shared" si="18"/>
        <v>34256459.2198561</v>
      </c>
      <c r="G76" s="90">
        <f>(F76-'Investor-Returns'!$D$9)/'Investor-Returns'!$D$9</f>
        <v>0.957511955420349</v>
      </c>
      <c r="H76" s="91">
        <f>F76/'Investor-Returns'!$D$9</f>
        <v>1.95751195542035</v>
      </c>
    </row>
    <row r="77" ht="15.75" customHeight="1">
      <c r="B77" s="92" t="s">
        <v>133</v>
      </c>
      <c r="C77" s="93">
        <f>'Investor-Returns'!D9</f>
        <v>17500000</v>
      </c>
    </row>
    <row r="79" ht="15.75" customHeight="1">
      <c r="B79" s="78" t="s">
        <v>134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56531CB-681D-BA68-9AA8-468C3F045B18}" mc:Ignorable="x14ac xr xr2 xr3">
  <dimension ref="A1:CV10000"/>
  <sheetViews>
    <sheetView showGridLines="0" topLeftCell="A1" workbookViewId="0">
      <pane ySplit="4" topLeftCell="A5" activePane="bottomLeft" state="frozen"/>
      <selection pane="bottomLeft" activeCell="I15" sqref="I15"/>
    </sheetView>
  </sheetViews>
  <sheetFormatPr defaultRowHeight="15" defaultColWidth="8.8515625" customHeight="1"/>
  <cols>
    <col min="1" max="1" width="1.421875" customWidth="1"/>
    <col min="2" max="2" width="28.57421875" customWidth="1"/>
    <col min="3" max="8" width="15.7109375" customWidth="1"/>
    <col min="9" max="9" width="17.140625" customWidth="1"/>
  </cols>
  <sheetData>
    <row r="2" ht="24" customHeight="1">
      <c r="B2" s="1" t="s">
        <v>135</v>
      </c>
    </row>
    <row r="3" ht="15.75" customHeight="1">
      <c r="B3" s="2" t="s">
        <v>136</v>
      </c>
    </row>
    <row r="4" ht="15" customHeight="1">
      <c r="B4" s="3"/>
      <c r="C4" s="3"/>
      <c r="D4" s="3"/>
      <c r="E4" s="3"/>
      <c r="F4" s="3"/>
      <c r="G4" s="3"/>
      <c r="H4" s="3"/>
      <c r="I4" s="3"/>
      <c r="J4" s="3"/>
    </row>
    <row r="6" ht="19.5" customHeight="1">
      <c r="B6" s="12" t="s">
        <v>56</v>
      </c>
    </row>
    <row r="8" ht="15" customHeight="1">
      <c r="B8" s="4"/>
      <c r="C8" s="4" t="s">
        <v>57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</row>
    <row r="9" ht="15.75" customHeight="1">
      <c r="B9" s="38" t="s">
        <v>58</v>
      </c>
      <c r="C9" s="39">
        <f>'Financial-Summary'!C6</f>
        <v>200</v>
      </c>
      <c r="D9" s="39">
        <f>'Financial-Summary'!C7</f>
        <v>250</v>
      </c>
      <c r="E9" s="39">
        <f>'Financial-Summary'!C8</f>
        <v>310</v>
      </c>
      <c r="F9" s="39">
        <f>'Financial-Summary'!C9</f>
        <v>370</v>
      </c>
      <c r="G9" s="39">
        <f>'Financial-Summary'!C10</f>
        <v>460</v>
      </c>
      <c r="H9" s="39">
        <f>'Financial-Summary'!C11</f>
        <v>540</v>
      </c>
    </row>
    <row r="10" ht="15.75" customHeight="1">
      <c r="B10" s="94" t="s">
        <v>137</v>
      </c>
      <c r="C10" s="95">
        <v>200</v>
      </c>
      <c r="D10" s="95">
        <v>300</v>
      </c>
      <c r="E10" s="95">
        <v>440</v>
      </c>
      <c r="F10" s="95">
        <v>590</v>
      </c>
      <c r="G10" s="95">
        <v>750</v>
      </c>
      <c r="H10" s="95">
        <v>920</v>
      </c>
      <c r="I10" s="42"/>
    </row>
    <row r="11" ht="15.75" customHeight="1">
      <c r="B11" s="43" t="s">
        <v>60</v>
      </c>
      <c r="C11" s="44" t="s">
        <v>21</v>
      </c>
      <c r="D11" s="44">
        <f t="shared" si="0" ref="D11:H11">D10-C10</f>
        <v>100</v>
      </c>
      <c r="E11" s="44">
        <f t="shared" si="0"/>
        <v>140</v>
      </c>
      <c r="F11" s="44">
        <f t="shared" si="0"/>
        <v>150</v>
      </c>
      <c r="G11" s="44">
        <f t="shared" si="0"/>
        <v>160</v>
      </c>
      <c r="H11" s="44">
        <f t="shared" si="0"/>
        <v>170</v>
      </c>
    </row>
    <row r="12" ht="15.75" customHeight="1">
      <c r="B12" s="45" t="s">
        <v>61</v>
      </c>
      <c r="C12" s="46">
        <f t="shared" si="1" ref="C12:H12">C10/C9</f>
        <v>1</v>
      </c>
      <c r="D12" s="46">
        <f t="shared" si="1"/>
        <v>1.2</v>
      </c>
      <c r="E12" s="46">
        <f t="shared" si="1"/>
        <v>1.41935483870968</v>
      </c>
      <c r="F12" s="46">
        <f t="shared" si="1"/>
        <v>1.59459459459459</v>
      </c>
      <c r="G12" s="46">
        <f t="shared" si="1"/>
        <v>1.6304347826087</v>
      </c>
      <c r="H12" s="46">
        <f t="shared" si="1"/>
        <v>1.7037037037037</v>
      </c>
    </row>
    <row r="14" ht="19.5" customHeight="1">
      <c r="B14" s="12" t="s">
        <v>138</v>
      </c>
    </row>
    <row r="16" ht="15" customHeight="1">
      <c r="B16" s="4"/>
      <c r="C16" s="4" t="s">
        <v>57</v>
      </c>
      <c r="D16" s="4" t="s">
        <v>22</v>
      </c>
      <c r="E16" s="4" t="s">
        <v>23</v>
      </c>
      <c r="F16" s="4" t="s">
        <v>24</v>
      </c>
      <c r="G16" s="4" t="s">
        <v>25</v>
      </c>
      <c r="H16" s="4" t="s">
        <v>26</v>
      </c>
    </row>
    <row r="17" ht="15.75" customHeight="1">
      <c r="B17" s="47" t="s">
        <v>63</v>
      </c>
      <c r="C17" s="48">
        <f>ROUNDUP('Staff-Plan'!D7*C12,0)</f>
        <v>10</v>
      </c>
      <c r="D17" s="48">
        <f>ROUNDUP('Staff-Plan'!E7*D12,0)</f>
        <v>14</v>
      </c>
      <c r="E17" s="48">
        <f>ROUNDUP('Staff-Plan'!F7*E12,0)</f>
        <v>20</v>
      </c>
      <c r="F17" s="48">
        <f>ROUNDUP('Staff-Plan'!G7*F12,0)</f>
        <v>28</v>
      </c>
      <c r="G17" s="48">
        <f>ROUNDUP('Staff-Plan'!H7*G12,0)</f>
        <v>31</v>
      </c>
      <c r="H17" s="48">
        <f>ROUNDUP('Staff-Plan'!I7*H12,0)</f>
        <v>36</v>
      </c>
    </row>
    <row r="18" ht="15.75" customHeight="1">
      <c r="B18" s="45" t="s">
        <v>64</v>
      </c>
      <c r="C18" s="39">
        <f>ROUNDUP('Staff-Plan'!D8*C12,0)</f>
        <v>3</v>
      </c>
      <c r="D18" s="39">
        <f>ROUNDUP('Staff-Plan'!E8*D12,0)</f>
        <v>6</v>
      </c>
      <c r="E18" s="39">
        <f>ROUNDUP('Staff-Plan'!F8*E12,0)</f>
        <v>9</v>
      </c>
      <c r="F18" s="39">
        <f>ROUNDUP('Staff-Plan'!G8*F12,0)</f>
        <v>12</v>
      </c>
      <c r="G18" s="39">
        <f>ROUNDUP('Staff-Plan'!H8*G12,0)</f>
        <v>17</v>
      </c>
      <c r="H18" s="39">
        <f>ROUNDUP('Staff-Plan'!I8*H12,0)</f>
        <v>21</v>
      </c>
    </row>
    <row r="19" ht="15.75" customHeight="1">
      <c r="B19" s="47" t="s">
        <v>65</v>
      </c>
      <c r="C19" s="48">
        <f>ROUNDUP('Staff-Plan'!D9*C12,0)</f>
        <v>2</v>
      </c>
      <c r="D19" s="48">
        <f>ROUNDUP('Staff-Plan'!E9*D12,0)</f>
        <v>3</v>
      </c>
      <c r="E19" s="48">
        <f>ROUNDUP('Staff-Plan'!F9*E12,0)</f>
        <v>3</v>
      </c>
      <c r="F19" s="48">
        <f>ROUNDUP('Staff-Plan'!G9*F12,0)</f>
        <v>4</v>
      </c>
      <c r="G19" s="48">
        <f>ROUNDUP('Staff-Plan'!H9*G12,0)</f>
        <v>5</v>
      </c>
      <c r="H19" s="48">
        <f>ROUNDUP('Staff-Plan'!I9*H12,0)</f>
        <v>6</v>
      </c>
    </row>
    <row r="20" ht="15.75" customHeight="1">
      <c r="B20" s="45" t="s">
        <v>66</v>
      </c>
      <c r="C20" s="39">
        <f>ROUNDUP('Staff-Plan'!D10*C12,0)</f>
        <v>4</v>
      </c>
      <c r="D20" s="39">
        <f>ROUNDUP('Staff-Plan'!E10*D12,0)</f>
        <v>5</v>
      </c>
      <c r="E20" s="39">
        <f>ROUNDUP('Staff-Plan'!F10*E12,0)</f>
        <v>8</v>
      </c>
      <c r="F20" s="39">
        <f>ROUNDUP('Staff-Plan'!G10*F12,0)</f>
        <v>8</v>
      </c>
      <c r="G20" s="39">
        <f>ROUNDUP('Staff-Plan'!H10*G12,0)</f>
        <v>9</v>
      </c>
      <c r="H20" s="39">
        <f>ROUNDUP('Staff-Plan'!I10*H12,0)</f>
        <v>12</v>
      </c>
    </row>
    <row r="21" ht="15.75" customHeight="1">
      <c r="B21" s="47" t="s">
        <v>67</v>
      </c>
      <c r="C21" s="48">
        <f>ROUNDUP('Staff-Plan'!D11*C12,0)</f>
        <v>1</v>
      </c>
      <c r="D21" s="48">
        <f>ROUNDUP('Staff-Plan'!E11*D12,0)</f>
        <v>2</v>
      </c>
      <c r="E21" s="48">
        <f>ROUNDUP('Staff-Plan'!F11*E12,0)</f>
        <v>2</v>
      </c>
      <c r="F21" s="48">
        <f>ROUNDUP('Staff-Plan'!G11*F12,0)</f>
        <v>2</v>
      </c>
      <c r="G21" s="48">
        <f>ROUNDUP('Staff-Plan'!H11*G12,0)</f>
        <v>4</v>
      </c>
      <c r="H21" s="48">
        <f>ROUNDUP('Staff-Plan'!I11*H12,0)</f>
        <v>4</v>
      </c>
    </row>
    <row r="22" ht="15.75" customHeight="1">
      <c r="B22" s="45" t="s">
        <v>68</v>
      </c>
      <c r="C22" s="39">
        <f>ROUNDUP('Staff-Plan'!D12*C12,0)</f>
        <v>0</v>
      </c>
      <c r="D22" s="39">
        <f>ROUNDUP('Staff-Plan'!E12*D12,0)</f>
        <v>0</v>
      </c>
      <c r="E22" s="39">
        <f>ROUNDUP('Staff-Plan'!F12*E12,0)</f>
        <v>0</v>
      </c>
      <c r="F22" s="39">
        <f>ROUNDUP('Staff-Plan'!G12*F12,0)</f>
        <v>0</v>
      </c>
      <c r="G22" s="39">
        <f>ROUNDUP('Staff-Plan'!H12*G12,0)</f>
        <v>2</v>
      </c>
      <c r="H22" s="39">
        <f>ROUNDUP('Staff-Plan'!I12*H12,0)</f>
        <v>2</v>
      </c>
    </row>
    <row r="23" ht="15.75" customHeight="1">
      <c r="B23" s="49" t="s">
        <v>69</v>
      </c>
      <c r="C23" s="50">
        <f t="shared" si="2" ref="C23:H35">SUM(C17:C22)</f>
        <v>20</v>
      </c>
      <c r="D23" s="50">
        <f t="shared" si="2"/>
        <v>30</v>
      </c>
      <c r="E23" s="50">
        <f t="shared" si="2"/>
        <v>42</v>
      </c>
      <c r="F23" s="50">
        <f t="shared" si="2"/>
        <v>54</v>
      </c>
      <c r="G23" s="50">
        <f t="shared" si="2"/>
        <v>68</v>
      </c>
      <c r="H23" s="50">
        <f t="shared" si="2"/>
        <v>81</v>
      </c>
    </row>
    <row r="25" ht="19.5" customHeight="1">
      <c r="B25" s="12" t="s">
        <v>139</v>
      </c>
    </row>
    <row r="27" ht="15" customHeight="1">
      <c r="B27" s="4"/>
      <c r="C27" s="4" t="s">
        <v>57</v>
      </c>
      <c r="D27" s="4" t="s">
        <v>22</v>
      </c>
      <c r="E27" s="4" t="s">
        <v>23</v>
      </c>
      <c r="F27" s="4" t="s">
        <v>24</v>
      </c>
      <c r="G27" s="4" t="s">
        <v>25</v>
      </c>
      <c r="H27" s="4" t="s">
        <v>26</v>
      </c>
    </row>
    <row r="28" ht="15.75" customHeight="1">
      <c r="B28" s="47" t="s">
        <v>14</v>
      </c>
      <c r="C28" s="51">
        <f>'Financial-Summary'!E6*C12</f>
        <v>7500000</v>
      </c>
      <c r="D28" s="51">
        <f>'Financial-Summary'!E7*D12</f>
        <v>10981034.4827586</v>
      </c>
      <c r="E28" s="51">
        <f>'Financial-Summary'!E8*E12</f>
        <v>17838857.1428572</v>
      </c>
      <c r="F28" s="51">
        <f>'Financial-Summary'!E9*F12</f>
        <v>24218780.4878048</v>
      </c>
      <c r="G28" s="51">
        <f>'Financial-Summary'!E10*G12</f>
        <v>32850000.0000001</v>
      </c>
      <c r="H28" s="51">
        <f>'Financial-Summary'!E11*H12</f>
        <v>42779999.9999999</v>
      </c>
    </row>
    <row r="29" ht="15.75" customHeight="1">
      <c r="B29" s="45" t="s">
        <v>71</v>
      </c>
      <c r="C29" s="52">
        <f>'Financial-Summary'!F6*C12</f>
        <v>2808000</v>
      </c>
      <c r="D29" s="52">
        <f>'Financial-Summary'!F7*D12</f>
        <v>4406400</v>
      </c>
      <c r="E29" s="52">
        <f>'Financial-Summary'!F8*E12</f>
        <v>6949161.29032259</v>
      </c>
      <c r="F29" s="52">
        <f>'Financial-Summary'!F9*F12</f>
        <v>10543459.4594594</v>
      </c>
      <c r="G29" s="52">
        <f>'Financial-Summary'!F10*G12</f>
        <v>15417391.3043479</v>
      </c>
      <c r="H29" s="52">
        <f>'Financial-Summary'!F11*H12</f>
        <v>20792000</v>
      </c>
    </row>
    <row r="30" ht="15.75" customHeight="1">
      <c r="B30" s="47" t="s">
        <v>72</v>
      </c>
      <c r="C30" s="51">
        <f>'Financial-Summary'!G6</f>
        <v>2040000</v>
      </c>
      <c r="D30" s="51">
        <f>'Financial-Summary'!G7</f>
        <v>2220000</v>
      </c>
      <c r="E30" s="51">
        <f>'Financial-Summary'!G8</f>
        <v>2178000</v>
      </c>
      <c r="F30" s="51">
        <f>'Financial-Summary'!G9</f>
        <v>2208000</v>
      </c>
      <c r="G30" s="51">
        <f>'Financial-Summary'!G10</f>
        <v>2539200</v>
      </c>
      <c r="H30" s="51">
        <f>'Financial-Summary'!G11</f>
        <v>2539200</v>
      </c>
    </row>
    <row r="31" ht="15.75" customHeight="1">
      <c r="B31" s="45" t="s">
        <v>73</v>
      </c>
      <c r="C31" s="52">
        <f>'Financial-Summary'!H6</f>
        <v>0</v>
      </c>
      <c r="D31" s="52">
        <f>'Financial-Summary'!H7</f>
        <v>500000</v>
      </c>
      <c r="E31" s="52">
        <f>'Financial-Summary'!H8</f>
        <v>1000000</v>
      </c>
      <c r="F31" s="52">
        <f>'Financial-Summary'!H9</f>
        <v>600000</v>
      </c>
      <c r="G31" s="52">
        <f>'Financial-Summary'!H10</f>
        <v>2000000</v>
      </c>
      <c r="H31" s="52">
        <f>'Financial-Summary'!H11</f>
        <v>3000000</v>
      </c>
    </row>
    <row r="32" ht="15.75" customHeight="1">
      <c r="B32" s="47" t="s">
        <v>74</v>
      </c>
      <c r="C32" s="51">
        <f>'Financial-Summary'!I6</f>
        <v>500000</v>
      </c>
      <c r="D32" s="51">
        <f>'Financial-Summary'!I7</f>
        <v>575000</v>
      </c>
      <c r="E32" s="51">
        <f>'Financial-Summary'!I8</f>
        <v>661250</v>
      </c>
      <c r="F32" s="51">
        <f>'Financial-Summary'!I9</f>
        <v>760437.5</v>
      </c>
      <c r="G32" s="51">
        <f>'Financial-Summary'!I10</f>
        <v>874503.125</v>
      </c>
      <c r="H32" s="51">
        <f>'Financial-Summary'!I11</f>
        <v>1005678.59375</v>
      </c>
    </row>
    <row r="33" ht="15.75" customHeight="1">
      <c r="B33" s="45" t="s">
        <v>75</v>
      </c>
      <c r="C33" s="52">
        <f>'Financial-Summary'!J6</f>
        <v>1000000</v>
      </c>
      <c r="D33" s="52">
        <f>'Financial-Summary'!J7</f>
        <v>1150000</v>
      </c>
      <c r="E33" s="52">
        <f>'Financial-Summary'!J8</f>
        <v>1322500</v>
      </c>
      <c r="F33" s="52">
        <f>'Financial-Summary'!J9</f>
        <v>1520875</v>
      </c>
      <c r="G33" s="52">
        <f>'Financial-Summary'!J10</f>
        <v>1749006.25</v>
      </c>
      <c r="H33" s="52">
        <f>'Financial-Summary'!J11</f>
        <v>2011357.1875</v>
      </c>
    </row>
    <row r="34" ht="15.75" customHeight="1">
      <c r="B34" s="47" t="s">
        <v>76</v>
      </c>
      <c r="C34" s="51">
        <f>'Financial-Summary'!K6</f>
        <v>400000</v>
      </c>
      <c r="D34" s="51">
        <f>'Financial-Summary'!K7</f>
        <v>480000</v>
      </c>
      <c r="E34" s="51">
        <f>'Financial-Summary'!K8</f>
        <v>576000</v>
      </c>
      <c r="F34" s="51">
        <f>'Financial-Summary'!K9</f>
        <v>691200</v>
      </c>
      <c r="G34" s="51">
        <f>'Financial-Summary'!K10</f>
        <v>829440</v>
      </c>
      <c r="H34" s="51">
        <f>'Financial-Summary'!K11</f>
        <v>995328</v>
      </c>
    </row>
    <row r="35" ht="15.75" customHeight="1">
      <c r="B35" s="53" t="s">
        <v>15</v>
      </c>
      <c r="C35" s="54">
        <f t="shared" si="2"/>
        <v>6748000</v>
      </c>
      <c r="D35" s="54">
        <f t="shared" si="2"/>
        <v>9331400</v>
      </c>
      <c r="E35" s="54">
        <f t="shared" si="2"/>
        <v>12686911.2903226</v>
      </c>
      <c r="F35" s="54">
        <f t="shared" si="2"/>
        <v>16323971.9594594</v>
      </c>
      <c r="G35" s="54">
        <f t="shared" si="2"/>
        <v>23409540.6793479</v>
      </c>
      <c r="H35" s="54">
        <f t="shared" si="2"/>
        <v>30343563.78125</v>
      </c>
    </row>
    <row r="36" ht="15.75" customHeight="1">
      <c r="B36" s="55" t="s">
        <v>16</v>
      </c>
      <c r="C36" s="56">
        <f t="shared" si="3" ref="C36:H36">C28-C35</f>
        <v>752000</v>
      </c>
      <c r="D36" s="56">
        <f t="shared" si="3"/>
        <v>1649634.4827586</v>
      </c>
      <c r="E36" s="56">
        <f t="shared" si="3"/>
        <v>5151945.8525346</v>
      </c>
      <c r="F36" s="56">
        <f t="shared" si="3"/>
        <v>7894808.5283454</v>
      </c>
      <c r="G36" s="56">
        <f t="shared" si="3"/>
        <v>9440459.3206522</v>
      </c>
      <c r="H36" s="56">
        <f t="shared" si="3"/>
        <v>12436436.2187499</v>
      </c>
    </row>
    <row r="37" ht="15.75" customHeight="1">
      <c r="B37" s="43" t="s">
        <v>77</v>
      </c>
      <c r="C37" s="57">
        <f t="shared" si="4" ref="C37:H37">C36/C28</f>
        <v>0.100266666666667</v>
      </c>
      <c r="D37" s="57">
        <f t="shared" si="4"/>
        <v>0.150225781127334</v>
      </c>
      <c r="E37" s="57">
        <f t="shared" si="4"/>
        <v>0.288804703758585</v>
      </c>
      <c r="F37" s="57">
        <f t="shared" si="4"/>
        <v>0.325978780489</v>
      </c>
      <c r="G37" s="57">
        <f t="shared" si="4"/>
        <v>0.287380801237509</v>
      </c>
      <c r="H37" s="57">
        <f t="shared" si="4"/>
        <v>0.290706783981999</v>
      </c>
    </row>
    <row r="39" ht="19.5" customHeight="1">
      <c r="B39" s="12" t="s">
        <v>140</v>
      </c>
    </row>
    <row r="41" ht="15" customHeight="1">
      <c r="B41" s="4"/>
      <c r="C41" s="4" t="s">
        <v>57</v>
      </c>
      <c r="D41" s="4" t="s">
        <v>22</v>
      </c>
      <c r="E41" s="4" t="s">
        <v>23</v>
      </c>
      <c r="F41" s="4" t="s">
        <v>24</v>
      </c>
      <c r="G41" s="4" t="s">
        <v>25</v>
      </c>
      <c r="H41" s="4" t="s">
        <v>26</v>
      </c>
      <c r="I41" s="4" t="s">
        <v>106</v>
      </c>
    </row>
    <row r="42" ht="15.75" customHeight="1">
      <c r="B42" s="45" t="s">
        <v>51</v>
      </c>
      <c r="C42" s="52">
        <f>'Financial-Summary'!M6</f>
        <v>-1248000</v>
      </c>
      <c r="D42" s="52">
        <f>'Financial-Summary'!M7</f>
        <v>-646137.93103447</v>
      </c>
      <c r="E42" s="52">
        <f>'Financial-Summary'!M8</f>
        <v>1934535.7142857</v>
      </c>
      <c r="F42" s="52">
        <f>'Financial-Summary'!M9</f>
        <v>2795536.2804878</v>
      </c>
      <c r="G42" s="52">
        <f>'Financial-Summary'!M10</f>
        <v>2699850.625</v>
      </c>
      <c r="H42" s="52">
        <f>'Financial-Summary'!M11</f>
        <v>3354436.21875</v>
      </c>
      <c r="I42" s="52">
        <f t="shared" si="5" ref="I42:I56">SUM(C42:H42)</f>
        <v>8890220.90748903</v>
      </c>
    </row>
    <row r="43" ht="15.75" customHeight="1">
      <c r="B43" s="58" t="s">
        <v>141</v>
      </c>
      <c r="C43" s="59">
        <f>'Moderate-Growth'!C36</f>
        <v>752000</v>
      </c>
      <c r="D43" s="59">
        <f>'Moderate-Growth'!D36</f>
        <v>1101748.2758621</v>
      </c>
      <c r="E43" s="59">
        <f>'Moderate-Growth'!E36</f>
        <v>3543240.7834101</v>
      </c>
      <c r="F43" s="59">
        <f>'Moderate-Growth'!F36</f>
        <v>5461064.9555042</v>
      </c>
      <c r="G43" s="59">
        <f>'Moderate-Growth'!G36</f>
        <v>6070154.9728261</v>
      </c>
      <c r="H43" s="59">
        <f>'Moderate-Growth'!H36</f>
        <v>7297936.21875</v>
      </c>
      <c r="I43" s="59">
        <f t="shared" si="5"/>
        <v>24226145.2063525</v>
      </c>
    </row>
    <row r="44" ht="15.75" customHeight="1">
      <c r="B44" s="83" t="s">
        <v>142</v>
      </c>
      <c r="C44" s="84">
        <f t="shared" si="6" ref="C44:H44">C36</f>
        <v>752000</v>
      </c>
      <c r="D44" s="84">
        <f t="shared" si="6"/>
        <v>1649634.4827586</v>
      </c>
      <c r="E44" s="84">
        <f t="shared" si="6"/>
        <v>5151945.8525346</v>
      </c>
      <c r="F44" s="84">
        <f t="shared" si="6"/>
        <v>7894808.5283454</v>
      </c>
      <c r="G44" s="84">
        <f t="shared" si="6"/>
        <v>9440459.3206522</v>
      </c>
      <c r="H44" s="84">
        <f t="shared" si="6"/>
        <v>12436436.2187499</v>
      </c>
      <c r="I44" s="84">
        <f t="shared" si="5"/>
        <v>37325284.4030407</v>
      </c>
    </row>
    <row r="47" ht="24" customHeight="1">
      <c r="B47" s="1" t="s">
        <v>143</v>
      </c>
    </row>
    <row r="48" ht="15.75" customHeight="1">
      <c r="B48" s="2" t="s">
        <v>144</v>
      </c>
    </row>
    <row r="49" ht="15" customHeight="1">
      <c r="B49" s="3"/>
      <c r="C49" s="3"/>
      <c r="D49" s="3"/>
      <c r="E49" s="3"/>
      <c r="F49" s="3"/>
      <c r="G49" s="3"/>
      <c r="H49" s="3"/>
      <c r="I49" s="3"/>
    </row>
    <row r="51" ht="19.5" customHeight="1">
      <c r="B51" s="12" t="s">
        <v>145</v>
      </c>
    </row>
    <row r="53" ht="15" customHeight="1">
      <c r="B53" s="4"/>
      <c r="C53" s="4" t="s">
        <v>57</v>
      </c>
      <c r="D53" s="4" t="s">
        <v>22</v>
      </c>
      <c r="E53" s="4" t="s">
        <v>23</v>
      </c>
      <c r="F53" s="4" t="s">
        <v>24</v>
      </c>
      <c r="G53" s="4" t="s">
        <v>25</v>
      </c>
      <c r="H53" s="4" t="s">
        <v>26</v>
      </c>
      <c r="I53" s="4" t="s">
        <v>106</v>
      </c>
    </row>
    <row r="54" ht="15.75" customHeight="1">
      <c r="B54" s="45" t="s">
        <v>51</v>
      </c>
      <c r="C54" s="52">
        <f>'Financial-Summary'!M6*'Investor-Returns'!$D$8</f>
        <v>-187200</v>
      </c>
      <c r="D54" s="52">
        <f>'Financial-Summary'!M7*'Investor-Returns'!$D$8</f>
        <v>-96920.6896551705</v>
      </c>
      <c r="E54" s="52">
        <f>'Financial-Summary'!M8*'Investor-Returns'!$D$8</f>
        <v>290180.357142855</v>
      </c>
      <c r="F54" s="52">
        <f>'Financial-Summary'!M9*'Investor-Returns'!$D$8</f>
        <v>419330.44207317</v>
      </c>
      <c r="G54" s="52">
        <f>'Financial-Summary'!M10*'Investor-Returns'!$D$8</f>
        <v>404977.59375</v>
      </c>
      <c r="H54" s="52">
        <f>'Financial-Summary'!M11*'Investor-Returns'!$D$8</f>
        <v>503165.4328125</v>
      </c>
      <c r="I54" s="52">
        <f t="shared" si="5"/>
        <v>1333533.13612335</v>
      </c>
    </row>
    <row r="55" ht="15.75" customHeight="1">
      <c r="B55" s="58" t="s">
        <v>141</v>
      </c>
      <c r="C55" s="59">
        <f>'Moderate-Growth'!C36*'Investor-Returns'!$D$8</f>
        <v>112800</v>
      </c>
      <c r="D55" s="59">
        <f>'Moderate-Growth'!D36*'Investor-Returns'!$D$8</f>
        <v>165262.241379315</v>
      </c>
      <c r="E55" s="59">
        <f>'Moderate-Growth'!E36*'Investor-Returns'!$D$8</f>
        <v>531486.117511515</v>
      </c>
      <c r="F55" s="59">
        <f>'Moderate-Growth'!F36*'Investor-Returns'!$D$8</f>
        <v>819159.74332563</v>
      </c>
      <c r="G55" s="59">
        <f>'Moderate-Growth'!G36*'Investor-Returns'!$D$8</f>
        <v>910523.245923915</v>
      </c>
      <c r="H55" s="59">
        <f>'Moderate-Growth'!H36*'Investor-Returns'!$D$8</f>
        <v>1094690.4328125</v>
      </c>
      <c r="I55" s="59">
        <f t="shared" si="5"/>
        <v>3633921.78095287</v>
      </c>
    </row>
    <row r="56" ht="15.75" customHeight="1">
      <c r="B56" s="83" t="s">
        <v>142</v>
      </c>
      <c r="C56" s="84">
        <f>C36*'Investor-Returns'!$D$8</f>
        <v>112800</v>
      </c>
      <c r="D56" s="84">
        <f>D36*'Investor-Returns'!$D$8</f>
        <v>247445.17241379</v>
      </c>
      <c r="E56" s="84">
        <f>E36*'Investor-Returns'!$D$8</f>
        <v>772791.87788019</v>
      </c>
      <c r="F56" s="84">
        <f>F36*'Investor-Returns'!$D$8</f>
        <v>1184221.27925181</v>
      </c>
      <c r="G56" s="84">
        <f>G36*'Investor-Returns'!$D$8</f>
        <v>1416068.89809783</v>
      </c>
      <c r="H56" s="84">
        <f>H36*'Investor-Returns'!$D$8</f>
        <v>1865465.43281248</v>
      </c>
      <c r="I56" s="84">
        <f t="shared" si="5"/>
        <v>5598792.6604561</v>
      </c>
    </row>
    <row r="58" ht="19.5" customHeight="1">
      <c r="B58" s="12" t="s">
        <v>39</v>
      </c>
    </row>
    <row r="60" ht="15" customHeight="1">
      <c r="B60" s="4"/>
      <c r="C60" s="4" t="s">
        <v>57</v>
      </c>
      <c r="D60" s="4" t="s">
        <v>22</v>
      </c>
      <c r="E60" s="4" t="s">
        <v>23</v>
      </c>
      <c r="F60" s="4" t="s">
        <v>24</v>
      </c>
      <c r="G60" s="4" t="s">
        <v>25</v>
      </c>
      <c r="H60" s="4" t="s">
        <v>26</v>
      </c>
    </row>
    <row r="61" ht="15.75" customHeight="1">
      <c r="B61" s="45" t="s">
        <v>51</v>
      </c>
      <c r="C61" s="52">
        <f t="shared" si="8" ref="C61:C63">C54</f>
        <v>-187200</v>
      </c>
      <c r="D61" s="52">
        <f t="shared" si="7" ref="D61:H63">C61+D54</f>
        <v>-284120.68965517</v>
      </c>
      <c r="E61" s="52">
        <f t="shared" si="7"/>
        <v>6059.66748768499</v>
      </c>
      <c r="F61" s="52">
        <f t="shared" si="7"/>
        <v>425390.109560855</v>
      </c>
      <c r="G61" s="52">
        <f t="shared" si="7"/>
        <v>830367.703310855</v>
      </c>
      <c r="H61" s="52">
        <f t="shared" si="7"/>
        <v>1333533.13612336</v>
      </c>
    </row>
    <row r="62" ht="15.75" customHeight="1">
      <c r="B62" s="58" t="s">
        <v>141</v>
      </c>
      <c r="C62" s="59">
        <f t="shared" si="8"/>
        <v>112800</v>
      </c>
      <c r="D62" s="59">
        <f t="shared" si="7"/>
        <v>278062.241379315</v>
      </c>
      <c r="E62" s="59">
        <f t="shared" si="7"/>
        <v>809548.35889083</v>
      </c>
      <c r="F62" s="59">
        <f t="shared" si="7"/>
        <v>1628708.10221646</v>
      </c>
      <c r="G62" s="59">
        <f t="shared" si="7"/>
        <v>2539231.34814037</v>
      </c>
      <c r="H62" s="59">
        <f t="shared" si="7"/>
        <v>3633921.78095287</v>
      </c>
    </row>
    <row r="63" ht="15.75" customHeight="1">
      <c r="B63" s="83" t="s">
        <v>142</v>
      </c>
      <c r="C63" s="84">
        <f t="shared" si="8"/>
        <v>112800</v>
      </c>
      <c r="D63" s="84">
        <f t="shared" si="7"/>
        <v>360245.17241379</v>
      </c>
      <c r="E63" s="84">
        <f t="shared" si="7"/>
        <v>1133037.05029398</v>
      </c>
      <c r="F63" s="84">
        <f t="shared" si="7"/>
        <v>2317258.32954579</v>
      </c>
      <c r="G63" s="84">
        <f t="shared" si="7"/>
        <v>3733327.22764362</v>
      </c>
      <c r="H63" s="84">
        <f t="shared" si="7"/>
        <v>5598792.6604561</v>
      </c>
    </row>
    <row r="66" ht="19.5" customHeight="1">
      <c r="B66" s="12" t="s">
        <v>146</v>
      </c>
    </row>
    <row r="67" ht="15" customHeight="1">
      <c r="B67" s="96"/>
      <c r="C67" s="96"/>
      <c r="D67" s="96"/>
      <c r="E67" s="96"/>
      <c r="F67" s="96"/>
      <c r="G67" s="96"/>
      <c r="H67" s="96"/>
    </row>
    <row r="69" ht="15" customHeight="1">
      <c r="B69" s="4" t="s">
        <v>127</v>
      </c>
      <c r="C69" s="4" t="s">
        <v>147</v>
      </c>
      <c r="D69" s="4" t="s">
        <v>148</v>
      </c>
      <c r="E69" s="4" t="s">
        <v>149</v>
      </c>
      <c r="F69" s="4" t="s">
        <v>150</v>
      </c>
      <c r="G69" s="4" t="s">
        <v>131</v>
      </c>
      <c r="H69" s="4" t="s">
        <v>132</v>
      </c>
      <c r="I69" s="4" t="s">
        <v>50</v>
      </c>
    </row>
    <row r="70" ht="15.75" customHeight="1">
      <c r="B70" s="45" t="s">
        <v>51</v>
      </c>
      <c r="C70" s="52">
        <f>'Financial-Summary'!E11</f>
        <v>25110000</v>
      </c>
      <c r="D70" s="52">
        <f t="shared" si="9" ref="D70:D72">C70*3</f>
        <v>75330000</v>
      </c>
      <c r="E70" s="52">
        <f>D70*'Investor-Returns'!$D$8</f>
        <v>11299500</v>
      </c>
      <c r="F70" s="52">
        <f t="shared" si="10" ref="F70:F72">H61</f>
        <v>1333533.13612336</v>
      </c>
      <c r="G70" s="52">
        <f t="shared" si="11" ref="G70:G72">E70+F70</f>
        <v>12633033.1361234</v>
      </c>
      <c r="H70" s="87">
        <f>(G70-'Investor-Returns'!$D$9)/'Investor-Returns'!$D$9</f>
        <v>-0.27811239222152</v>
      </c>
      <c r="I70" s="46">
        <f>G70/'Investor-Returns'!$D$9</f>
        <v>0.72188760777848</v>
      </c>
    </row>
    <row r="71" ht="15.75" customHeight="1">
      <c r="B71" s="58" t="s">
        <v>141</v>
      </c>
      <c r="C71" s="59">
        <f>'Moderate-Growth'!H28</f>
        <v>32782500.0000001</v>
      </c>
      <c r="D71" s="59">
        <f t="shared" si="9"/>
        <v>98347500.0000003</v>
      </c>
      <c r="E71" s="59">
        <f>D71*'Investor-Returns'!$D$8</f>
        <v>14752125</v>
      </c>
      <c r="F71" s="59">
        <f t="shared" si="10"/>
        <v>3633921.78095287</v>
      </c>
      <c r="G71" s="59">
        <f t="shared" si="11"/>
        <v>18386046.7809529</v>
      </c>
      <c r="H71" s="88">
        <f>(G71-'Investor-Returns'!$D$9)/'Investor-Returns'!$D$9</f>
        <v>0.05063124462588</v>
      </c>
      <c r="I71" s="89">
        <f>G71/'Investor-Returns'!$D$9</f>
        <v>1.05063124462588</v>
      </c>
    </row>
    <row r="72" ht="15.75" customHeight="1">
      <c r="B72" s="83" t="s">
        <v>142</v>
      </c>
      <c r="C72" s="84">
        <f>H28</f>
        <v>42779999.9999999</v>
      </c>
      <c r="D72" s="84">
        <f t="shared" si="9"/>
        <v>128340000</v>
      </c>
      <c r="E72" s="84">
        <f>D72*'Investor-Returns'!$D$8</f>
        <v>19251000</v>
      </c>
      <c r="F72" s="84">
        <f t="shared" si="10"/>
        <v>5598792.6604561</v>
      </c>
      <c r="G72" s="84">
        <f t="shared" si="11"/>
        <v>24849792.6604561</v>
      </c>
      <c r="H72" s="90">
        <f>(G72-'Investor-Returns'!$D$9)/'Investor-Returns'!$D$9</f>
        <v>0.419988152026063</v>
      </c>
      <c r="I72" s="91">
        <f>G72/'Investor-Returns'!$D$9</f>
        <v>1.41998815202606</v>
      </c>
    </row>
    <row r="74" ht="15.75" customHeight="1">
      <c r="B74" s="92" t="s">
        <v>151</v>
      </c>
      <c r="C74" s="93">
        <f>'Investor-Returns'!D9</f>
        <v>17500000</v>
      </c>
    </row>
    <row r="76" ht="19.5" customHeight="1">
      <c r="B76" s="75" t="s">
        <v>152</v>
      </c>
    </row>
    <row r="77" ht="15" customHeight="1">
      <c r="B77" s="86"/>
      <c r="C77" s="86"/>
      <c r="D77" s="86"/>
      <c r="E77" s="86"/>
      <c r="F77" s="86"/>
      <c r="G77" s="86"/>
      <c r="H77" s="86"/>
      <c r="I77" s="86"/>
    </row>
    <row r="78" ht="96.75" customHeight="1">
      <c r="B78" s="97" t="s">
        <v>153</v>
      </c>
      <c r="C78" s="98" t="s">
        <v>154</v>
      </c>
      <c r="D78" s="98"/>
      <c r="E78" s="98"/>
      <c r="F78" s="98"/>
      <c r="G78" s="98"/>
      <c r="H78" s="98"/>
      <c r="I78" s="98"/>
    </row>
    <row r="79" ht="83.25" customHeight="1">
      <c r="B79" s="97" t="s">
        <v>153</v>
      </c>
      <c r="C79" s="98" t="s">
        <v>155</v>
      </c>
      <c r="D79" s="98"/>
      <c r="E79" s="98"/>
      <c r="F79" s="98"/>
      <c r="G79" s="98"/>
      <c r="H79" s="98"/>
      <c r="I79" s="98"/>
    </row>
    <row r="80" ht="83.25" customHeight="1">
      <c r="B80" s="97" t="s">
        <v>153</v>
      </c>
      <c r="C80" s="98" t="s">
        <v>156</v>
      </c>
      <c r="D80" s="98"/>
      <c r="E80" s="98"/>
      <c r="F80" s="98"/>
      <c r="G80" s="98"/>
      <c r="H80" s="98"/>
      <c r="I80" s="98"/>
    </row>
    <row r="81" ht="83.25" customHeight="1">
      <c r="B81" s="97" t="s">
        <v>153</v>
      </c>
      <c r="C81" s="98" t="s">
        <v>157</v>
      </c>
      <c r="D81" s="98"/>
      <c r="E81" s="98"/>
      <c r="F81" s="98"/>
      <c r="G81" s="98"/>
      <c r="H81" s="98"/>
      <c r="I81" s="98"/>
    </row>
    <row r="82" ht="96.75" customHeight="1">
      <c r="B82" s="97" t="s">
        <v>153</v>
      </c>
      <c r="C82" s="98" t="s">
        <v>158</v>
      </c>
      <c r="D82" s="98"/>
      <c r="E82" s="98"/>
      <c r="F82" s="98"/>
      <c r="G82" s="98"/>
      <c r="H82" s="98"/>
      <c r="I82" s="98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6ECDCFD-E848-9DDB-93F8-CC9A7DE5DFA8}" mc:Ignorable="x14ac xr xr2 xr3">
  <dimension ref="A1:CV10000"/>
  <sheetViews>
    <sheetView showGridLines="0" topLeftCell="A1" zoomScale="90" workbookViewId="0">
      <pane ySplit="4" topLeftCell="A9" activePane="bottomLeft" state="frozen"/>
      <selection pane="bottomLeft" activeCell="E2" sqref="E2"/>
    </sheetView>
  </sheetViews>
  <sheetFormatPr defaultRowHeight="15" defaultColWidth="8.8515625" customHeight="1"/>
  <cols>
    <col min="1" max="1" width="1.421875" customWidth="1"/>
    <col min="2" max="2" width="30.00390625" customWidth="1"/>
    <col min="3" max="3" width="18.57421875" customWidth="1"/>
    <col min="4" max="4" width="12.8515625" customWidth="1"/>
    <col min="5" max="5" width="50.00390625" customWidth="1"/>
    <col min="6" max="6" width="20.00390625" customWidth="1"/>
    <col min="7" max="7" width="1.421875" customWidth="1"/>
  </cols>
  <sheetData>
    <row r="2" ht="24" customHeight="1">
      <c r="B2" s="1" t="s">
        <v>159</v>
      </c>
    </row>
    <row r="3" ht="15.75" customHeight="1">
      <c r="B3" s="2" t="s">
        <v>160</v>
      </c>
    </row>
    <row r="4" ht="15" customHeight="1">
      <c r="B4" s="3"/>
      <c r="C4" s="3"/>
      <c r="D4" s="3"/>
      <c r="E4" s="3"/>
      <c r="F4" s="3"/>
      <c r="G4" s="3"/>
    </row>
    <row r="6" ht="19.5" customHeight="1">
      <c r="B6" s="12" t="s">
        <v>161</v>
      </c>
    </row>
    <row r="8" ht="15" customHeight="1">
      <c r="B8" s="4" t="s">
        <v>162</v>
      </c>
      <c r="C8" s="4" t="s">
        <v>163</v>
      </c>
      <c r="D8" s="4" t="s">
        <v>164</v>
      </c>
      <c r="E8" s="4" t="s">
        <v>165</v>
      </c>
      <c r="F8" s="4" t="s">
        <v>166</v>
      </c>
    </row>
    <row r="9" ht="15.75" customHeight="1">
      <c r="B9" s="34" t="s">
        <v>167</v>
      </c>
      <c r="C9" s="14">
        <f>'Raw-Data'!D49</f>
        <v>4000000</v>
      </c>
      <c r="D9" s="14">
        <f>'Raw-Data'!F49</f>
        <v>46000</v>
      </c>
      <c r="E9" s="13" t="s">
        <v>21</v>
      </c>
      <c r="F9" s="13" t="s">
        <v>21</v>
      </c>
    </row>
    <row r="10" ht="15.75" customHeight="1">
      <c r="B10" s="36" t="s">
        <v>168</v>
      </c>
      <c r="C10" s="17">
        <f>'Raw-Data'!D50</f>
        <v>2600000</v>
      </c>
      <c r="D10" s="17">
        <f>'Raw-Data'!F50</f>
        <v>22000</v>
      </c>
      <c r="E10" s="16" t="s">
        <v>21</v>
      </c>
      <c r="F10" s="16" t="s">
        <v>21</v>
      </c>
    </row>
    <row r="11" ht="15.75" customHeight="1">
      <c r="B11" s="34" t="s">
        <v>169</v>
      </c>
      <c r="C11" s="14">
        <f>'Raw-Data'!D51</f>
        <v>1000000</v>
      </c>
      <c r="D11" s="14">
        <f>'Raw-Data'!F51</f>
        <v>9000</v>
      </c>
      <c r="E11" s="13" t="s">
        <v>21</v>
      </c>
      <c r="F11" s="13" t="s">
        <v>21</v>
      </c>
    </row>
    <row r="12" ht="15.75" customHeight="1">
      <c r="B12" s="36" t="s">
        <v>170</v>
      </c>
      <c r="C12" s="17">
        <f>'Raw-Data'!D52</f>
        <v>2000000</v>
      </c>
      <c r="D12" s="17">
        <f>'Raw-Data'!F52</f>
        <v>17000</v>
      </c>
      <c r="E12" s="18">
        <f>'Raw-Data'!E52</f>
        <v>0.1</v>
      </c>
      <c r="F12" s="99">
        <f>'Raw-Data'!G52</f>
        <v>2</v>
      </c>
    </row>
    <row r="13" ht="15.75" customHeight="1">
      <c r="B13" s="49" t="s">
        <v>171</v>
      </c>
      <c r="C13" s="100">
        <f t="shared" si="0" ref="C13:D13">SUM(C9:C12)</f>
        <v>9600000</v>
      </c>
      <c r="D13" s="100">
        <f t="shared" si="0"/>
        <v>94000</v>
      </c>
      <c r="E13" s="50"/>
      <c r="F13" s="50"/>
    </row>
    <row r="15" ht="19.5" customHeight="1">
      <c r="B15" s="12" t="s">
        <v>172</v>
      </c>
    </row>
    <row r="17" ht="15" customHeight="1">
      <c r="B17" s="4" t="s">
        <v>173</v>
      </c>
      <c r="C17" s="4" t="s">
        <v>174</v>
      </c>
      <c r="D17" s="4" t="s">
        <v>175</v>
      </c>
      <c r="E17" s="4" t="s">
        <v>176</v>
      </c>
    </row>
    <row r="18" ht="15.75" customHeight="1">
      <c r="B18" s="34" t="s">
        <v>177</v>
      </c>
      <c r="C18" s="14">
        <f>'Raw-Data'!D60</f>
        <v>2000000</v>
      </c>
      <c r="D18" s="101">
        <f>C18/'Investor-Returns'!D9</f>
        <v>0.114285714285714</v>
      </c>
      <c r="E18" s="102" t="s">
        <v>178</v>
      </c>
    </row>
    <row r="19" ht="15.75" customHeight="1">
      <c r="B19" s="36" t="s">
        <v>179</v>
      </c>
      <c r="C19" s="17">
        <f>'Raw-Data'!D61</f>
        <v>8000000</v>
      </c>
      <c r="D19" s="103">
        <f>C19/'Investor-Returns'!D9</f>
        <v>0.457142857142857</v>
      </c>
      <c r="E19" s="104" t="s">
        <v>180</v>
      </c>
    </row>
    <row r="20" ht="15.75" customHeight="1">
      <c r="B20" s="34" t="s">
        <v>181</v>
      </c>
      <c r="C20" s="14">
        <f>'Raw-Data'!D62</f>
        <v>2500000</v>
      </c>
      <c r="D20" s="101">
        <f>C20/'Investor-Returns'!D9</f>
        <v>0.142857142857143</v>
      </c>
      <c r="E20" s="102" t="s">
        <v>182</v>
      </c>
    </row>
    <row r="21" ht="27.75" customHeight="1">
      <c r="B21" s="105" t="s">
        <v>183</v>
      </c>
      <c r="C21" s="106">
        <f>'Raw-Data'!D63</f>
        <v>2500000</v>
      </c>
      <c r="D21" s="107">
        <f>C21/'Investor-Returns'!D9</f>
        <v>0.142857142857143</v>
      </c>
      <c r="E21" s="108" t="s">
        <v>184</v>
      </c>
      <c r="F21" s="109" t="s">
        <v>185</v>
      </c>
    </row>
    <row r="22" ht="15.75" customHeight="1">
      <c r="B22" s="34" t="s">
        <v>186</v>
      </c>
      <c r="C22" s="14">
        <f>'Raw-Data'!D64</f>
        <v>2500000</v>
      </c>
      <c r="D22" s="101">
        <f>C22/'Investor-Returns'!D9</f>
        <v>0.142857142857143</v>
      </c>
      <c r="E22" s="102" t="s">
        <v>187</v>
      </c>
    </row>
    <row r="23" ht="15.75" customHeight="1">
      <c r="B23" s="49" t="s">
        <v>188</v>
      </c>
      <c r="C23" s="100">
        <f>SUM(C18:C22)</f>
        <v>17500000</v>
      </c>
      <c r="D23" s="110">
        <f>C23/'Investor-Returns'!D9</f>
        <v>1</v>
      </c>
      <c r="E23" s="111"/>
    </row>
    <row r="25" ht="19.5" customHeight="1">
      <c r="B25" s="75" t="s">
        <v>189</v>
      </c>
    </row>
    <row r="26" ht="15" customHeight="1">
      <c r="B26" s="86"/>
      <c r="C26" s="86"/>
      <c r="D26" s="86"/>
      <c r="E26" s="86"/>
      <c r="F26" s="86"/>
      <c r="G26" s="86"/>
    </row>
    <row r="27" ht="42.75" customHeight="1">
      <c r="B27" s="112" t="s">
        <v>153</v>
      </c>
      <c r="C27" s="98" t="s">
        <v>190</v>
      </c>
      <c r="D27" s="98"/>
      <c r="E27" s="98"/>
    </row>
    <row r="28" ht="69.75" customHeight="1">
      <c r="B28" s="112" t="s">
        <v>153</v>
      </c>
      <c r="C28" s="98" t="s">
        <v>191</v>
      </c>
      <c r="D28" s="98"/>
      <c r="E28" s="98"/>
    </row>
    <row r="29" ht="56.25" customHeight="1">
      <c r="B29" s="112" t="s">
        <v>153</v>
      </c>
      <c r="C29" s="98" t="s">
        <v>192</v>
      </c>
      <c r="D29" s="98"/>
      <c r="E29" s="98"/>
    </row>
    <row r="30" ht="83.25" customHeight="1">
      <c r="B30" s="112" t="s">
        <v>153</v>
      </c>
      <c r="C30" s="98" t="s">
        <v>193</v>
      </c>
      <c r="D30" s="98"/>
      <c r="E30" s="98"/>
    </row>
    <row r="31" ht="69.75" customHeight="1">
      <c r="B31" s="112" t="s">
        <v>153</v>
      </c>
      <c r="C31" s="98" t="s">
        <v>194</v>
      </c>
      <c r="D31" s="98"/>
      <c r="E31" s="98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B593091-080A-275F-0505-8C877FDE0538}" mc:Ignorable="x14ac xr xr2 xr3">
  <dimension ref="A1:CV10000"/>
  <sheetViews>
    <sheetView showGridLines="0" topLeftCell="B1" workbookViewId="0">
      <pane ySplit="5" topLeftCell="A7" activePane="bottomLeft" state="frozen"/>
      <selection pane="bottomLeft" activeCell="D12" sqref="D12"/>
    </sheetView>
  </sheetViews>
  <sheetFormatPr defaultRowHeight="15" defaultColWidth="8.8515625" customHeight="1"/>
  <cols>
    <col min="1" max="1" width="1.421875" customWidth="1"/>
    <col min="2" max="2" width="12.8515625" customWidth="1"/>
    <col min="3" max="3" width="11.421875" customWidth="1"/>
    <col min="4" max="4" width="13.00390625" customWidth="1"/>
    <col min="5" max="13" width="20.00390625" customWidth="1"/>
  </cols>
  <sheetData>
    <row r="2" ht="24" customHeight="1">
      <c r="B2" s="1" t="s">
        <v>195</v>
      </c>
    </row>
    <row r="3" ht="16.5" customHeight="1">
      <c r="B3" s="113" t="s">
        <v>196</v>
      </c>
    </row>
    <row r="5" ht="15.75" customHeight="1">
      <c r="B5" s="114" t="s">
        <v>12</v>
      </c>
      <c r="C5" s="114" t="s">
        <v>13</v>
      </c>
      <c r="D5" s="114" t="s">
        <v>197</v>
      </c>
      <c r="E5" s="114" t="s">
        <v>198</v>
      </c>
      <c r="F5" s="114" t="s">
        <v>71</v>
      </c>
      <c r="G5" s="114" t="s">
        <v>72</v>
      </c>
      <c r="H5" s="114" t="s">
        <v>73</v>
      </c>
      <c r="I5" s="114" t="s">
        <v>74</v>
      </c>
      <c r="J5" s="114" t="s">
        <v>75</v>
      </c>
      <c r="K5" s="114" t="s">
        <v>76</v>
      </c>
      <c r="L5" s="114" t="s">
        <v>15</v>
      </c>
      <c r="M5" s="114" t="s">
        <v>16</v>
      </c>
    </row>
    <row r="6" ht="15.75" customHeight="1">
      <c r="B6" s="13" t="str">
        <f>'Raw-Data'!A3</f>
        <v>THIS</v>
      </c>
      <c r="C6" s="13">
        <f>'Raw-Data'!B3</f>
        <v>200</v>
      </c>
      <c r="D6" s="115">
        <f>'Raw-Data'!C3</f>
        <v>7500000</v>
      </c>
      <c r="E6" s="115">
        <f>'Raw-Data'!D3</f>
        <v>7500000</v>
      </c>
      <c r="F6" s="115">
        <f>'Raw-Data'!E3</f>
        <v>2808000</v>
      </c>
      <c r="G6" s="115">
        <f>'Raw-Data'!F3</f>
        <v>2040000</v>
      </c>
      <c r="H6" s="115">
        <f>'Raw-Data'!H3</f>
        <v>0</v>
      </c>
      <c r="I6" s="115">
        <f>'Raw-Data'!I3</f>
        <v>500000</v>
      </c>
      <c r="J6" s="115">
        <f>'Raw-Data'!J3</f>
        <v>1000000</v>
      </c>
      <c r="K6" s="115">
        <f>'Raw-Data'!K3</f>
        <v>400000</v>
      </c>
      <c r="L6" s="115">
        <f>'Raw-Data'!L3</f>
        <v>8748000</v>
      </c>
      <c r="M6" s="116">
        <f>'Raw-Data'!M3</f>
        <v>-1248000</v>
      </c>
    </row>
    <row r="7" ht="15.75" customHeight="1">
      <c r="B7" s="16" t="str">
        <f>'Raw-Data'!A4</f>
        <v>2027-28</v>
      </c>
      <c r="C7" s="16">
        <f>'Raw-Data'!B4</f>
        <v>250</v>
      </c>
      <c r="D7" s="117">
        <f>'Raw-Data'!C4</f>
        <v>9150862.06896553</v>
      </c>
      <c r="E7" s="117">
        <f>'Raw-Data'!D4</f>
        <v>9150862.06896553</v>
      </c>
      <c r="F7" s="117">
        <f>'Raw-Data'!E4</f>
        <v>3672000</v>
      </c>
      <c r="G7" s="117">
        <f>'Raw-Data'!F4</f>
        <v>2220000</v>
      </c>
      <c r="H7" s="117">
        <f>'Raw-Data'!H4</f>
        <v>500000</v>
      </c>
      <c r="I7" s="117">
        <f>'Raw-Data'!I4</f>
        <v>575000</v>
      </c>
      <c r="J7" s="117">
        <f>'Raw-Data'!J4</f>
        <v>1150000</v>
      </c>
      <c r="K7" s="117">
        <f>'Raw-Data'!K4</f>
        <v>480000</v>
      </c>
      <c r="L7" s="117">
        <f>'Raw-Data'!L4</f>
        <v>9797000</v>
      </c>
      <c r="M7" s="118">
        <f>'Raw-Data'!M4</f>
        <v>-646137.93103447</v>
      </c>
    </row>
    <row r="8" ht="15.75" customHeight="1">
      <c r="B8" s="13" t="str">
        <f>'Raw-Data'!A5</f>
        <v>2028-29</v>
      </c>
      <c r="C8" s="13">
        <f>'Raw-Data'!B5</f>
        <v>310</v>
      </c>
      <c r="D8" s="115">
        <f>'Raw-Data'!C5</f>
        <v>12568285.7142857</v>
      </c>
      <c r="E8" s="115">
        <f>'Raw-Data'!D5</f>
        <v>12568285.7142857</v>
      </c>
      <c r="F8" s="115">
        <f>'Raw-Data'!E5</f>
        <v>4896000</v>
      </c>
      <c r="G8" s="115">
        <f>'Raw-Data'!F5</f>
        <v>2178000</v>
      </c>
      <c r="H8" s="115">
        <f>'Raw-Data'!H5</f>
        <v>1000000</v>
      </c>
      <c r="I8" s="115">
        <f>'Raw-Data'!I5</f>
        <v>661250</v>
      </c>
      <c r="J8" s="115">
        <f>'Raw-Data'!J5</f>
        <v>1322500</v>
      </c>
      <c r="K8" s="115">
        <f>'Raw-Data'!K5</f>
        <v>576000</v>
      </c>
      <c r="L8" s="115">
        <f>'Raw-Data'!L5</f>
        <v>10633750</v>
      </c>
      <c r="M8" s="116">
        <f>'Raw-Data'!M5</f>
        <v>1934535.7142857</v>
      </c>
    </row>
    <row r="9" ht="15.75" customHeight="1">
      <c r="B9" s="16" t="str">
        <f>'Raw-Data'!A6</f>
        <v>2029-30</v>
      </c>
      <c r="C9" s="16">
        <f>'Raw-Data'!B6</f>
        <v>370</v>
      </c>
      <c r="D9" s="117">
        <f>'Raw-Data'!C6</f>
        <v>15188048.7804878</v>
      </c>
      <c r="E9" s="117">
        <f>'Raw-Data'!D6</f>
        <v>15188048.7804878</v>
      </c>
      <c r="F9" s="117">
        <f>'Raw-Data'!E6</f>
        <v>6612000</v>
      </c>
      <c r="G9" s="117">
        <f>'Raw-Data'!F6</f>
        <v>2208000</v>
      </c>
      <c r="H9" s="117">
        <f>'Raw-Data'!H6</f>
        <v>600000</v>
      </c>
      <c r="I9" s="117">
        <f>'Raw-Data'!I6</f>
        <v>760437.5</v>
      </c>
      <c r="J9" s="117">
        <f>'Raw-Data'!J6</f>
        <v>1520875</v>
      </c>
      <c r="K9" s="117">
        <f>'Raw-Data'!K6</f>
        <v>691200</v>
      </c>
      <c r="L9" s="117">
        <f>'Raw-Data'!L6</f>
        <v>12392512.5</v>
      </c>
      <c r="M9" s="118">
        <f>'Raw-Data'!M6</f>
        <v>2795536.2804878</v>
      </c>
    </row>
    <row r="10" ht="15.75" customHeight="1">
      <c r="B10" s="13" t="str">
        <f>'Raw-Data'!A7</f>
        <v>2030-31</v>
      </c>
      <c r="C10" s="13">
        <f>'Raw-Data'!B7</f>
        <v>460</v>
      </c>
      <c r="D10" s="115">
        <f>'Raw-Data'!C7</f>
        <v>20148000</v>
      </c>
      <c r="E10" s="115">
        <f>'Raw-Data'!D7</f>
        <v>20148000</v>
      </c>
      <c r="F10" s="115">
        <f>'Raw-Data'!E7</f>
        <v>9456000</v>
      </c>
      <c r="G10" s="115">
        <f>'Raw-Data'!F7</f>
        <v>2539200</v>
      </c>
      <c r="H10" s="115">
        <f>'Raw-Data'!H7</f>
        <v>2000000</v>
      </c>
      <c r="I10" s="115">
        <f>'Raw-Data'!I7</f>
        <v>874503.125</v>
      </c>
      <c r="J10" s="115">
        <f>'Raw-Data'!J7</f>
        <v>1749006.25</v>
      </c>
      <c r="K10" s="115">
        <f>'Raw-Data'!K7</f>
        <v>829440</v>
      </c>
      <c r="L10" s="115">
        <f>'Raw-Data'!L7</f>
        <v>17448149.375</v>
      </c>
      <c r="M10" s="116">
        <f>'Raw-Data'!M7</f>
        <v>2699850.625</v>
      </c>
    </row>
    <row r="11" ht="15.75" customHeight="1">
      <c r="B11" s="16" t="str">
        <f>'Raw-Data'!A8</f>
        <v>2031-32</v>
      </c>
      <c r="C11" s="16">
        <f>'Raw-Data'!B8</f>
        <v>540</v>
      </c>
      <c r="D11" s="117">
        <f>'Raw-Data'!C8</f>
        <v>25110000</v>
      </c>
      <c r="E11" s="117">
        <f>'Raw-Data'!D8</f>
        <v>25110000</v>
      </c>
      <c r="F11" s="117">
        <f>'Raw-Data'!E8</f>
        <v>12204000</v>
      </c>
      <c r="G11" s="117">
        <f>'Raw-Data'!F8</f>
        <v>2539200</v>
      </c>
      <c r="H11" s="117">
        <f>'Raw-Data'!H8</f>
        <v>3000000</v>
      </c>
      <c r="I11" s="117">
        <f>'Raw-Data'!I8</f>
        <v>1005678.59375</v>
      </c>
      <c r="J11" s="117">
        <f>'Raw-Data'!J8</f>
        <v>2011357.1875</v>
      </c>
      <c r="K11" s="117">
        <f>'Raw-Data'!K8</f>
        <v>995328</v>
      </c>
      <c r="L11" s="117">
        <f>'Raw-Data'!L8</f>
        <v>21755563.78125</v>
      </c>
      <c r="M11" s="118">
        <f>'Raw-Data'!M8</f>
        <v>3354436.21875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5F7555-18B8-59A8-4A7A-4379750D10F8}" mc:Ignorable="x14ac xr xr2 xr3">
  <dimension ref="A1:CV10000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defaultRowHeight="15" defaultColWidth="8.8515625" customHeight="1"/>
  <cols>
    <col min="1" max="1" width="1.421875" customWidth="1"/>
    <col min="2" max="2" width="22.8515625" customWidth="1"/>
    <col min="3" max="3" width="17.140625" customWidth="1"/>
    <col min="5" max="9" width="14.28125" customWidth="1"/>
  </cols>
  <sheetData>
    <row r="2" ht="21.75" customHeight="1">
      <c r="B2" s="119" t="s">
        <v>199</v>
      </c>
    </row>
    <row r="4" ht="15.75" customHeight="1">
      <c r="B4" s="120" t="s">
        <v>200</v>
      </c>
      <c r="C4" s="120" t="s">
        <v>201</v>
      </c>
      <c r="D4" s="120" t="s">
        <v>57</v>
      </c>
      <c r="E4" s="120" t="s">
        <v>22</v>
      </c>
      <c r="F4" s="120" t="s">
        <v>23</v>
      </c>
      <c r="G4" s="120" t="s">
        <v>24</v>
      </c>
      <c r="H4" s="120" t="s">
        <v>25</v>
      </c>
      <c r="I4" s="120" t="s">
        <v>26</v>
      </c>
    </row>
    <row r="5" ht="15.75" customHeight="1">
      <c r="B5" s="34" t="s">
        <v>202</v>
      </c>
      <c r="C5" s="13" t="str">
        <f>'Raw-Data'!C11</f>
        <v>GRADES</v>
      </c>
      <c r="D5" s="13" t="str">
        <f>'Raw-Data'!D11</f>
        <v>PG,NUR,JR,SRKG,1,2</v>
      </c>
      <c r="E5" s="13" t="str">
        <f>'Raw-Data'!E11</f>
        <v>PG-Gr3</v>
      </c>
      <c r="F5" s="13" t="str">
        <f>'Raw-Data'!F11</f>
        <v>PG -GRADE 3</v>
      </c>
      <c r="G5" s="13" t="str">
        <f>'Raw-Data'!G11</f>
        <v>PG -GRADE 4</v>
      </c>
      <c r="H5" s="13" t="str">
        <f>'Raw-Data'!H11</f>
        <v>PG -GRADE 5</v>
      </c>
      <c r="I5" s="13" t="str">
        <f>'Raw-Data'!I11</f>
        <v>PG -GRADE 6</v>
      </c>
    </row>
    <row r="6" ht="15.75" customHeight="1">
      <c r="B6" s="36" t="s">
        <v>13</v>
      </c>
      <c r="C6" s="16" t="str">
        <f>'Raw-Data'!C12</f>
        <v>no</v>
      </c>
      <c r="D6" s="16">
        <f>'Raw-Data'!D12</f>
        <v>200</v>
      </c>
      <c r="E6" s="16">
        <f>'Raw-Data'!E12</f>
        <v>250</v>
      </c>
      <c r="F6" s="16">
        <f>'Raw-Data'!F12</f>
        <v>310</v>
      </c>
      <c r="G6" s="16">
        <f>'Raw-Data'!G12</f>
        <v>370</v>
      </c>
      <c r="H6" s="16">
        <f>'Raw-Data'!H12</f>
        <v>460</v>
      </c>
      <c r="I6" s="16">
        <f>'Raw-Data'!I12</f>
        <v>540</v>
      </c>
    </row>
    <row r="7" ht="15.75" customHeight="1">
      <c r="B7" s="34" t="s">
        <v>63</v>
      </c>
      <c r="C7" s="13">
        <f>'Raw-Data'!C13</f>
        <v>0</v>
      </c>
      <c r="D7" s="13">
        <f>'Raw-Data'!D13</f>
        <v>10</v>
      </c>
      <c r="E7" s="13">
        <f>'Raw-Data'!E13</f>
        <v>11</v>
      </c>
      <c r="F7" s="13">
        <f>'Raw-Data'!F13</f>
        <v>14</v>
      </c>
      <c r="G7" s="13">
        <f>'Raw-Data'!G13</f>
        <v>17</v>
      </c>
      <c r="H7" s="13">
        <f>'Raw-Data'!H13</f>
        <v>19</v>
      </c>
      <c r="I7" s="13">
        <f>'Raw-Data'!I13</f>
        <v>21</v>
      </c>
    </row>
    <row r="8" ht="15.75" customHeight="1">
      <c r="B8" s="36" t="s">
        <v>64</v>
      </c>
      <c r="C8" s="16">
        <f>'Raw-Data'!C14</f>
        <v>0</v>
      </c>
      <c r="D8" s="16">
        <f>'Raw-Data'!D14</f>
        <v>3</v>
      </c>
      <c r="E8" s="16">
        <f>'Raw-Data'!E14</f>
        <v>5</v>
      </c>
      <c r="F8" s="16">
        <f>'Raw-Data'!F14</f>
        <v>6</v>
      </c>
      <c r="G8" s="16">
        <f>'Raw-Data'!G14</f>
        <v>7</v>
      </c>
      <c r="H8" s="16">
        <f>'Raw-Data'!H14</f>
        <v>10</v>
      </c>
      <c r="I8" s="16">
        <f>'Raw-Data'!I14</f>
        <v>12</v>
      </c>
    </row>
    <row r="9" ht="15.75" customHeight="1">
      <c r="B9" s="34" t="s">
        <v>65</v>
      </c>
      <c r="C9" s="13">
        <f>'Raw-Data'!C15</f>
        <v>0</v>
      </c>
      <c r="D9" s="13">
        <f>'Raw-Data'!D15</f>
        <v>2</v>
      </c>
      <c r="E9" s="13">
        <f>'Raw-Data'!E15</f>
        <v>2</v>
      </c>
      <c r="F9" s="13">
        <f>'Raw-Data'!F15</f>
        <v>2</v>
      </c>
      <c r="G9" s="13">
        <f>'Raw-Data'!G15</f>
        <v>2</v>
      </c>
      <c r="H9" s="13">
        <f>'Raw-Data'!H15</f>
        <v>3</v>
      </c>
      <c r="I9" s="13">
        <f>'Raw-Data'!I15</f>
        <v>3</v>
      </c>
    </row>
    <row r="10" ht="15.75" customHeight="1">
      <c r="B10" s="36" t="s">
        <v>66</v>
      </c>
      <c r="C10" s="16">
        <f>'Raw-Data'!C16</f>
        <v>0</v>
      </c>
      <c r="D10" s="16">
        <f>'Raw-Data'!D16</f>
        <v>4</v>
      </c>
      <c r="E10" s="16">
        <f>'Raw-Data'!E16</f>
        <v>4</v>
      </c>
      <c r="F10" s="16">
        <f>'Raw-Data'!F16</f>
        <v>5</v>
      </c>
      <c r="G10" s="16">
        <f>'Raw-Data'!G16</f>
        <v>5</v>
      </c>
      <c r="H10" s="16">
        <f>'Raw-Data'!H16</f>
        <v>5</v>
      </c>
      <c r="I10" s="16">
        <f>'Raw-Data'!I16</f>
        <v>7</v>
      </c>
    </row>
    <row r="11" ht="15.75" customHeight="1">
      <c r="B11" s="34" t="s">
        <v>67</v>
      </c>
      <c r="C11" s="13">
        <f>'Raw-Data'!C17</f>
        <v>0</v>
      </c>
      <c r="D11" s="13">
        <f>'Raw-Data'!D17</f>
        <v>1</v>
      </c>
      <c r="E11" s="13">
        <f>'Raw-Data'!E17</f>
        <v>1</v>
      </c>
      <c r="F11" s="13">
        <f>'Raw-Data'!F17</f>
        <v>1</v>
      </c>
      <c r="G11" s="13">
        <f>'Raw-Data'!G17</f>
        <v>1</v>
      </c>
      <c r="H11" s="13">
        <f>'Raw-Data'!H17</f>
        <v>2</v>
      </c>
      <c r="I11" s="13">
        <f>'Raw-Data'!I17</f>
        <v>2</v>
      </c>
    </row>
    <row r="12" ht="15.75" customHeight="1">
      <c r="B12" s="36" t="s">
        <v>68</v>
      </c>
      <c r="C12" s="16">
        <f>'Raw-Data'!C18</f>
        <v>0</v>
      </c>
      <c r="D12" s="16">
        <f>'Raw-Data'!D18</f>
        <v>0</v>
      </c>
      <c r="E12" s="16">
        <f>'Raw-Data'!E18</f>
        <v>0</v>
      </c>
      <c r="F12" s="16">
        <f>'Raw-Data'!F18</f>
        <v>0</v>
      </c>
      <c r="G12" s="16">
        <f>'Raw-Data'!G18</f>
        <v>0</v>
      </c>
      <c r="H12" s="16">
        <f>'Raw-Data'!H18</f>
        <v>1</v>
      </c>
      <c r="I12" s="16">
        <f>'Raw-Data'!I18</f>
        <v>1</v>
      </c>
    </row>
    <row r="13" ht="15.75" customHeight="1">
      <c r="B13" s="121" t="s">
        <v>69</v>
      </c>
      <c r="C13" s="122"/>
      <c r="D13" s="122">
        <f t="shared" si="0" ref="D13:I13">SUM(D7:D12)</f>
        <v>20</v>
      </c>
      <c r="E13" s="122">
        <f t="shared" si="0"/>
        <v>23</v>
      </c>
      <c r="F13" s="122">
        <f t="shared" si="0"/>
        <v>28</v>
      </c>
      <c r="G13" s="122">
        <f t="shared" si="0"/>
        <v>32</v>
      </c>
      <c r="H13" s="122">
        <f t="shared" si="0"/>
        <v>40</v>
      </c>
      <c r="I13" s="122">
        <f t="shared" si="0"/>
        <v>46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1C068A-B468-A048-0A5C-FD22D85345A8}" mc:Ignorable="x14ac xr xr2 xr3">
  <dimension ref="A1:CV10000"/>
  <sheetViews>
    <sheetView showGridLines="0" topLeftCell="A1" workbookViewId="0">
      <pane ySplit="5" topLeftCell="A33" activePane="bottomLeft" state="frozen"/>
      <selection pane="bottomLeft" activeCell="A1" sqref="A1"/>
    </sheetView>
  </sheetViews>
  <sheetFormatPr defaultRowHeight="15" defaultColWidth="8.8515625" customHeight="1"/>
  <cols>
    <col min="1" max="1" width="1.421875" customWidth="1"/>
    <col min="2" max="2" width="18.57421875" customWidth="1"/>
    <col min="4" max="11" width="12.140625" customWidth="1"/>
  </cols>
  <sheetData>
    <row r="2" ht="21.75" customHeight="1">
      <c r="B2" s="119" t="s">
        <v>211</v>
      </c>
    </row>
    <row r="3" ht="15" customHeight="1">
      <c r="B3" s="123" t="s">
        <v>212</v>
      </c>
    </row>
    <row r="5" ht="15.75" customHeight="1">
      <c r="B5" s="120"/>
      <c r="C5" s="120" t="s">
        <v>213</v>
      </c>
      <c r="D5" s="120" t="s">
        <v>214</v>
      </c>
      <c r="E5" s="120" t="s">
        <v>215</v>
      </c>
      <c r="F5" s="120" t="s">
        <v>216</v>
      </c>
      <c r="G5" s="120" t="s">
        <v>217</v>
      </c>
      <c r="H5" s="120" t="s">
        <v>218</v>
      </c>
      <c r="I5" s="120" t="s">
        <v>219</v>
      </c>
      <c r="J5" s="120" t="s">
        <v>220</v>
      </c>
      <c r="K5" s="120" t="s">
        <v>57</v>
      </c>
    </row>
    <row r="6" ht="15.75" customHeight="1">
      <c r="B6" s="34" t="s">
        <v>221</v>
      </c>
      <c r="C6" s="13">
        <f>'Raw-Data'!B27</f>
        <v>60</v>
      </c>
      <c r="D6" s="13">
        <f>'Raw-Data'!C27</f>
        <v>104</v>
      </c>
      <c r="E6" s="13">
        <f>'Raw-Data'!D27</f>
        <v>45</v>
      </c>
      <c r="F6" s="13">
        <f>'Raw-Data'!E27</f>
        <v>55</v>
      </c>
      <c r="G6" s="13">
        <f>'Raw-Data'!F27</f>
        <v>90</v>
      </c>
      <c r="H6" s="13">
        <f>'Raw-Data'!G27</f>
        <v>120</v>
      </c>
      <c r="I6" s="13">
        <f>'Raw-Data'!H27</f>
        <v>145</v>
      </c>
      <c r="J6" s="13">
        <f>'Raw-Data'!I27</f>
        <v>155</v>
      </c>
      <c r="K6" s="13">
        <f>'Raw-Data'!J27</f>
        <v>200</v>
      </c>
    </row>
    <row r="7" ht="15.75" customHeight="1">
      <c r="B7" s="36" t="s">
        <v>222</v>
      </c>
      <c r="C7" s="16">
        <f>'Raw-Data'!B28</f>
        <v>0</v>
      </c>
      <c r="D7" s="16">
        <f>'Raw-Data'!C28</f>
        <v>0</v>
      </c>
      <c r="E7" s="16">
        <f>'Raw-Data'!D28</f>
        <v>0</v>
      </c>
      <c r="F7" s="16">
        <f>'Raw-Data'!E28</f>
        <v>0</v>
      </c>
      <c r="G7" s="16">
        <f>'Raw-Data'!F28</f>
        <v>0</v>
      </c>
      <c r="H7" s="16">
        <f>'Raw-Data'!G28</f>
        <v>0</v>
      </c>
      <c r="I7" s="16">
        <f>'Raw-Data'!H28</f>
        <v>65</v>
      </c>
      <c r="J7" s="16">
        <f>'Raw-Data'!I28</f>
        <v>95</v>
      </c>
      <c r="K7" s="16">
        <f>'Raw-Data'!J28</f>
        <v>130</v>
      </c>
    </row>
    <row r="8" ht="15.75" customHeight="1">
      <c r="B8" s="124" t="s">
        <v>171</v>
      </c>
      <c r="C8" s="125">
        <f>'Raw-Data'!B29</f>
        <v>60</v>
      </c>
      <c r="D8" s="125">
        <f>'Raw-Data'!C29</f>
        <v>104</v>
      </c>
      <c r="E8" s="125">
        <f>'Raw-Data'!D29</f>
        <v>45</v>
      </c>
      <c r="F8" s="125">
        <f>'Raw-Data'!E29</f>
        <v>55</v>
      </c>
      <c r="G8" s="125">
        <f>'Raw-Data'!F29</f>
        <v>90</v>
      </c>
      <c r="H8" s="125">
        <f>'Raw-Data'!G29</f>
        <v>120</v>
      </c>
      <c r="I8" s="125">
        <f>'Raw-Data'!H29</f>
        <v>210</v>
      </c>
      <c r="J8" s="125">
        <f>'Raw-Data'!I29</f>
        <v>250</v>
      </c>
      <c r="K8" s="125">
        <f>'Raw-Data'!J29</f>
        <v>330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E2F8FF8-C6EB-EF88-BD9F-20383E3303D4}" mc:Ignorable="x14ac xr xr2 xr3">
  <dimension ref="A1:CV10000"/>
  <sheetViews>
    <sheetView showGridLines="0" topLeftCell="A2" workbookViewId="0">
      <selection activeCell="A1" sqref="A1"/>
    </sheetView>
  </sheetViews>
  <sheetFormatPr defaultRowHeight="15" defaultColWidth="8.8515625" customHeight="1"/>
  <cols>
    <col min="1" max="1" width="1.421875" customWidth="1"/>
    <col min="2" max="2" width="4.28125" customWidth="1"/>
    <col min="3" max="3" width="92.8515625" customWidth="1"/>
  </cols>
  <sheetData>
    <row r="2" ht="21.75" customHeight="1">
      <c r="B2" s="119" t="s">
        <v>223</v>
      </c>
    </row>
    <row r="3" ht="15" customHeight="1">
      <c r="B3" s="3"/>
      <c r="C3" s="3"/>
      <c r="D3" s="3"/>
      <c r="E3" s="3"/>
      <c r="F3" s="3"/>
      <c r="G3" s="3"/>
    </row>
    <row r="5" ht="29.25" customHeight="1">
      <c r="B5" s="126">
        <v>1</v>
      </c>
      <c r="C5" s="127" t="s">
        <v>224</v>
      </c>
    </row>
    <row r="6" ht="29.25" customHeight="1">
      <c r="B6" s="126">
        <v>2</v>
      </c>
      <c r="C6" s="127" t="s">
        <v>225</v>
      </c>
    </row>
    <row r="7" ht="29.25" customHeight="1">
      <c r="B7" s="126">
        <v>3</v>
      </c>
      <c r="C7" s="127" t="s">
        <v>226</v>
      </c>
    </row>
    <row r="8" ht="15.75" customHeight="1">
      <c r="B8" s="126">
        <v>4</v>
      </c>
      <c r="C8" s="127" t="s">
        <v>227</v>
      </c>
    </row>
    <row r="9" ht="29.25" customHeight="1">
      <c r="B9" s="126">
        <v>5</v>
      </c>
      <c r="C9" s="127" t="s">
        <v>228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C638D8-D258-801F-B2C8-AB5038134DAF}" mc:Ignorable="x14ac xr xr2 xr3">
  <sheetPr>
    <outlinePr summaryBelow="0" summaryRight="0"/>
  </sheetPr>
  <dimension ref="A1:CW10000"/>
  <sheetViews>
    <sheetView topLeftCell="A59" workbookViewId="0">
      <selection activeCell="B22" sqref="B22:I22"/>
    </sheetView>
  </sheetViews>
  <sheetFormatPr defaultRowHeight="15" defaultColWidth="12.57421875" customHeight="1"/>
  <cols>
    <col min="3" max="3" width="24.00390625" customWidth="1"/>
    <col min="5" max="5" width="22.7109375" customWidth="1"/>
    <col min="6" max="6" width="15.421875" customWidth="1"/>
    <col min="11" max="11" width="17.57421875" customWidth="1"/>
  </cols>
  <sheetData>
    <row r="1" ht="15" customHeight="1">
      <c r="A1" s="128" t="s">
        <v>229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9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ht="81" customHeight="1">
      <c r="A2" s="131" t="s">
        <v>230</v>
      </c>
      <c r="B2" s="131" t="s">
        <v>231</v>
      </c>
      <c r="C2" s="131" t="s">
        <v>232</v>
      </c>
      <c r="D2" s="132" t="s">
        <v>233</v>
      </c>
      <c r="E2" s="131" t="s">
        <v>234</v>
      </c>
      <c r="F2" s="131" t="s">
        <v>235</v>
      </c>
      <c r="G2" s="133" t="s">
        <v>236</v>
      </c>
      <c r="H2" s="134" t="s">
        <v>237</v>
      </c>
      <c r="I2" s="131" t="s">
        <v>238</v>
      </c>
      <c r="J2" s="131" t="s">
        <v>239</v>
      </c>
      <c r="K2" s="135" t="s">
        <v>240</v>
      </c>
      <c r="L2" s="132" t="s">
        <v>241</v>
      </c>
      <c r="M2" s="131" t="s">
        <v>242</v>
      </c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</row>
    <row r="3" ht="16.5" customHeight="1">
      <c r="A3" s="137" t="s">
        <v>20</v>
      </c>
      <c r="B3" s="138">
        <v>200</v>
      </c>
      <c r="C3" s="139">
        <v>7500000</v>
      </c>
      <c r="D3" s="131">
        <f t="shared" si="0" ref="D3:D8">C3</f>
        <v>7500000</v>
      </c>
      <c r="E3" s="137">
        <f>D19</f>
        <v>2808000</v>
      </c>
      <c r="F3" s="137">
        <f>((170000*12))</f>
        <v>2040000</v>
      </c>
      <c r="G3" s="140">
        <v>2000000</v>
      </c>
      <c r="H3" s="141"/>
      <c r="I3" s="137">
        <v>500000</v>
      </c>
      <c r="J3" s="137">
        <v>1000000</v>
      </c>
      <c r="K3" s="142">
        <v>400000</v>
      </c>
      <c r="L3" s="131">
        <f t="shared" si="2" ref="L3:L8">E3+F3+H3+I3+J3+K3+G3</f>
        <v>8748000</v>
      </c>
      <c r="M3" s="137">
        <f t="shared" si="3" ref="M3:M8">D3-L3</f>
        <v>-1248000</v>
      </c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4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ht="16.5" customHeight="1">
      <c r="A4" s="145" t="s">
        <v>22</v>
      </c>
      <c r="B4" s="138">
        <v>250</v>
      </c>
      <c r="C4" s="139">
        <f>B4*E22</f>
        <v>9150862.06896553</v>
      </c>
      <c r="D4" s="131">
        <f t="shared" si="0"/>
        <v>9150862.06896553</v>
      </c>
      <c r="E4" s="137">
        <f>E21</f>
        <v>3672000</v>
      </c>
      <c r="F4" s="137">
        <f>((185000*12))</f>
        <v>2220000</v>
      </c>
      <c r="G4" s="136">
        <v>1200000</v>
      </c>
      <c r="H4" s="141">
        <v>500000</v>
      </c>
      <c r="I4" s="137">
        <f t="shared" si="1" ref="I4:J8">(I3*15%)+I3</f>
        <v>575000</v>
      </c>
      <c r="J4" s="137">
        <f t="shared" si="1"/>
        <v>1150000</v>
      </c>
      <c r="K4" s="142">
        <f t="shared" si="4" ref="K4:K8">(K3*20%)+K3</f>
        <v>480000</v>
      </c>
      <c r="L4" s="131">
        <f t="shared" si="2"/>
        <v>9797000</v>
      </c>
      <c r="M4" s="137">
        <f t="shared" si="3"/>
        <v>-646137.93103447</v>
      </c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4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ht="19.5" customHeight="1">
      <c r="A5" s="145" t="s">
        <v>23</v>
      </c>
      <c r="B5" s="146">
        <v>310</v>
      </c>
      <c r="C5" s="147">
        <f>B5*F22</f>
        <v>12568285.7142857</v>
      </c>
      <c r="D5" s="148">
        <f t="shared" si="0"/>
        <v>12568285.7142857</v>
      </c>
      <c r="E5" s="145">
        <f>F21</f>
        <v>4896000</v>
      </c>
      <c r="F5" s="137">
        <f>(165000+(165000*10%))*12</f>
        <v>2178000</v>
      </c>
      <c r="H5" s="141">
        <v>1000000</v>
      </c>
      <c r="I5" s="137">
        <f t="shared" si="1"/>
        <v>661250</v>
      </c>
      <c r="J5" s="137">
        <f t="shared" si="1"/>
        <v>1322500</v>
      </c>
      <c r="K5" s="142">
        <f t="shared" si="4"/>
        <v>576000</v>
      </c>
      <c r="L5" s="131">
        <f t="shared" si="2"/>
        <v>10633750</v>
      </c>
      <c r="M5" s="137">
        <f t="shared" si="3"/>
        <v>1934535.7142857</v>
      </c>
      <c r="N5" s="143"/>
      <c r="O5" s="143"/>
      <c r="P5" s="143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</row>
    <row r="6" ht="16.5" customHeight="1">
      <c r="A6" s="145" t="s">
        <v>24</v>
      </c>
      <c r="B6" s="146">
        <v>370</v>
      </c>
      <c r="C6" s="147">
        <f>B6*G22</f>
        <v>15188048.7804878</v>
      </c>
      <c r="D6" s="131">
        <f t="shared" si="0"/>
        <v>15188048.7804878</v>
      </c>
      <c r="E6" s="145">
        <f>G21</f>
        <v>6612000</v>
      </c>
      <c r="F6" s="137">
        <f>(160000+(160000*15%))*12</f>
        <v>2208000</v>
      </c>
      <c r="H6" s="141">
        <v>600000</v>
      </c>
      <c r="I6" s="137">
        <f t="shared" si="1"/>
        <v>760437.5</v>
      </c>
      <c r="J6" s="137">
        <f t="shared" si="1"/>
        <v>1520875</v>
      </c>
      <c r="K6" s="142">
        <f t="shared" si="4"/>
        <v>691200</v>
      </c>
      <c r="L6" s="131">
        <f t="shared" si="2"/>
        <v>12392512.5</v>
      </c>
      <c r="M6" s="137">
        <f t="shared" si="3"/>
        <v>2795536.2804878</v>
      </c>
      <c r="N6" s="143"/>
      <c r="O6" s="143"/>
      <c r="P6" s="143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136"/>
      <c r="CE6" s="136"/>
      <c r="CF6" s="136"/>
      <c r="CG6" s="136"/>
      <c r="CH6" s="136"/>
      <c r="CI6" s="136"/>
      <c r="CJ6" s="136"/>
      <c r="CK6" s="136"/>
      <c r="CL6" s="136"/>
      <c r="CM6" s="136"/>
      <c r="CN6" s="136"/>
      <c r="CO6" s="136"/>
      <c r="CP6" s="136"/>
      <c r="CQ6" s="136"/>
      <c r="CR6" s="136"/>
      <c r="CS6" s="136"/>
      <c r="CT6" s="136"/>
      <c r="CU6" s="136"/>
      <c r="CV6" s="136"/>
      <c r="CW6" s="136"/>
    </row>
    <row r="7" ht="16.5" customHeight="1">
      <c r="A7" s="145" t="s">
        <v>25</v>
      </c>
      <c r="B7" s="146">
        <v>460</v>
      </c>
      <c r="C7" s="147">
        <f>B7*H22</f>
        <v>20148000</v>
      </c>
      <c r="D7" s="131">
        <f t="shared" si="0"/>
        <v>20148000</v>
      </c>
      <c r="E7" s="145">
        <f>H21</f>
        <v>9456000</v>
      </c>
      <c r="F7" s="137">
        <f t="shared" si="5" ref="F7:F8">211600*12</f>
        <v>2539200</v>
      </c>
      <c r="H7" s="141">
        <v>2000000</v>
      </c>
      <c r="I7" s="137">
        <f t="shared" si="1"/>
        <v>874503.125</v>
      </c>
      <c r="J7" s="137">
        <f t="shared" si="1"/>
        <v>1749006.25</v>
      </c>
      <c r="K7" s="142">
        <f t="shared" si="4"/>
        <v>829440</v>
      </c>
      <c r="L7" s="131">
        <f t="shared" si="2"/>
        <v>17448149.375</v>
      </c>
      <c r="M7" s="137">
        <f t="shared" si="3"/>
        <v>2699850.625</v>
      </c>
      <c r="N7" s="143"/>
      <c r="O7" s="143"/>
      <c r="P7" s="143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136"/>
      <c r="CT7" s="136"/>
      <c r="CU7" s="136"/>
      <c r="CV7" s="136"/>
      <c r="CW7" s="136"/>
    </row>
    <row r="8" ht="16.5" customHeight="1">
      <c r="A8" s="145" t="s">
        <v>26</v>
      </c>
      <c r="B8" s="146">
        <v>540</v>
      </c>
      <c r="C8" s="147">
        <f>B8*I22</f>
        <v>25110000</v>
      </c>
      <c r="D8" s="131">
        <f t="shared" si="0"/>
        <v>25110000</v>
      </c>
      <c r="E8" s="145">
        <f>I21</f>
        <v>12204000</v>
      </c>
      <c r="F8" s="137">
        <f t="shared" si="5"/>
        <v>2539200</v>
      </c>
      <c r="H8" s="141">
        <v>3000000</v>
      </c>
      <c r="I8" s="137">
        <f t="shared" si="1"/>
        <v>1005678.59375</v>
      </c>
      <c r="J8" s="137">
        <f t="shared" si="1"/>
        <v>2011357.1875</v>
      </c>
      <c r="K8" s="142">
        <f t="shared" si="4"/>
        <v>995328</v>
      </c>
      <c r="L8" s="131">
        <f t="shared" si="2"/>
        <v>21755563.78125</v>
      </c>
      <c r="M8" s="137">
        <f t="shared" si="3"/>
        <v>3354436.21875</v>
      </c>
      <c r="N8" s="143"/>
      <c r="O8" s="143"/>
      <c r="P8" s="143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6"/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6"/>
      <c r="CV8" s="136"/>
      <c r="CW8" s="136"/>
    </row>
    <row r="9" ht="15" customHeight="1">
      <c r="A9" s="128"/>
      <c r="B9" s="128"/>
      <c r="C9" s="128"/>
      <c r="D9" s="128"/>
      <c r="E9" s="128"/>
      <c r="F9" s="128"/>
      <c r="H9" s="128"/>
      <c r="I9" s="128"/>
      <c r="J9" s="142"/>
      <c r="K9" s="131"/>
      <c r="L9" s="128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16.5" customHeight="1">
      <c r="A10" s="128"/>
      <c r="B10" s="145" t="s">
        <v>243</v>
      </c>
      <c r="C10" s="145"/>
      <c r="D10" s="145" t="s">
        <v>57</v>
      </c>
      <c r="E10" s="145" t="s">
        <v>22</v>
      </c>
      <c r="F10" s="145" t="s">
        <v>23</v>
      </c>
      <c r="G10" s="145" t="s">
        <v>24</v>
      </c>
      <c r="H10" s="145" t="s">
        <v>25</v>
      </c>
      <c r="I10" s="145" t="s">
        <v>26</v>
      </c>
      <c r="J10" s="130"/>
      <c r="K10" s="130"/>
      <c r="L10" s="130"/>
      <c r="M10" s="130"/>
      <c r="N10" s="130"/>
      <c r="O10" s="130"/>
      <c r="P10" s="130"/>
      <c r="Q10" s="130"/>
      <c r="R10" s="130"/>
      <c r="S10" s="130"/>
    </row>
    <row r="11" ht="30.75" customHeight="1">
      <c r="A11" s="128"/>
      <c r="B11" s="145" t="s">
        <v>244</v>
      </c>
      <c r="C11" s="145" t="s">
        <v>203</v>
      </c>
      <c r="D11" s="137" t="s">
        <v>204</v>
      </c>
      <c r="E11" s="137" t="s">
        <v>205</v>
      </c>
      <c r="F11" s="145" t="s">
        <v>206</v>
      </c>
      <c r="G11" s="145" t="s">
        <v>207</v>
      </c>
      <c r="H11" s="145" t="s">
        <v>208</v>
      </c>
      <c r="I11" s="145" t="s">
        <v>209</v>
      </c>
      <c r="J11" s="130"/>
      <c r="K11" s="130"/>
      <c r="L11" s="130"/>
      <c r="M11" s="130"/>
      <c r="N11" s="130"/>
      <c r="O11" s="130"/>
      <c r="P11" s="130"/>
      <c r="Q11" s="130"/>
      <c r="R11" s="130"/>
      <c r="S11" s="130"/>
    </row>
    <row r="12" ht="16.5" customHeight="1">
      <c r="A12" s="149"/>
      <c r="B12" s="150" t="s">
        <v>245</v>
      </c>
      <c r="C12" s="150" t="s">
        <v>210</v>
      </c>
      <c r="D12" s="151">
        <f>B3</f>
        <v>200</v>
      </c>
      <c r="E12" s="151">
        <f>B4</f>
        <v>250</v>
      </c>
      <c r="F12" s="152">
        <f>B5</f>
        <v>310</v>
      </c>
      <c r="G12" s="152">
        <f>B6</f>
        <v>370</v>
      </c>
      <c r="H12" s="152">
        <f>B7</f>
        <v>460</v>
      </c>
      <c r="I12" s="152">
        <f>B8</f>
        <v>540</v>
      </c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4"/>
      <c r="U12" s="154"/>
      <c r="V12" s="154"/>
      <c r="W12" s="154"/>
      <c r="X12" s="154"/>
      <c r="Y12" s="154"/>
      <c r="Z12" s="154"/>
    </row>
    <row r="13" ht="16.5" customHeight="1">
      <c r="A13" s="128"/>
      <c r="B13" s="145" t="s">
        <v>246</v>
      </c>
      <c r="C13" s="145"/>
      <c r="D13" s="138">
        <v>10</v>
      </c>
      <c r="E13" s="138">
        <v>11</v>
      </c>
      <c r="F13" s="146">
        <v>14</v>
      </c>
      <c r="G13" s="146">
        <v>17</v>
      </c>
      <c r="H13" s="146">
        <v>19</v>
      </c>
      <c r="I13" s="146">
        <v>21</v>
      </c>
      <c r="J13" s="153"/>
      <c r="K13" s="130"/>
      <c r="L13" s="130"/>
      <c r="M13" s="130"/>
      <c r="N13" s="130"/>
      <c r="O13" s="130"/>
      <c r="P13" s="130"/>
      <c r="Q13" s="130"/>
      <c r="R13" s="130"/>
      <c r="S13" s="130"/>
    </row>
    <row r="14" ht="16.5" customHeight="1">
      <c r="A14" s="128"/>
      <c r="B14" s="145" t="s">
        <v>247</v>
      </c>
      <c r="C14" s="145"/>
      <c r="D14" s="138">
        <v>3</v>
      </c>
      <c r="E14" s="138">
        <v>5</v>
      </c>
      <c r="F14" s="146">
        <v>6</v>
      </c>
      <c r="G14" s="146">
        <v>7</v>
      </c>
      <c r="H14" s="146">
        <v>10</v>
      </c>
      <c r="I14" s="146">
        <v>12</v>
      </c>
      <c r="J14" s="153"/>
      <c r="K14" s="130"/>
      <c r="L14" s="130"/>
      <c r="M14" s="130"/>
      <c r="N14" s="130"/>
      <c r="O14" s="130"/>
      <c r="P14" s="130"/>
      <c r="Q14" s="130"/>
      <c r="R14" s="130"/>
      <c r="S14" s="130"/>
    </row>
    <row r="15" ht="16.5" customHeight="1">
      <c r="A15" s="128"/>
      <c r="B15" s="145" t="s">
        <v>248</v>
      </c>
      <c r="C15" s="145"/>
      <c r="D15" s="138">
        <v>2</v>
      </c>
      <c r="E15" s="138">
        <v>2</v>
      </c>
      <c r="F15" s="146">
        <v>2</v>
      </c>
      <c r="G15" s="146">
        <v>2</v>
      </c>
      <c r="H15" s="146">
        <v>3</v>
      </c>
      <c r="I15" s="146">
        <v>3</v>
      </c>
      <c r="J15" s="153"/>
      <c r="K15" s="130"/>
      <c r="L15" s="130"/>
      <c r="M15" s="130"/>
      <c r="N15" s="130"/>
      <c r="O15" s="130"/>
      <c r="P15" s="130"/>
      <c r="Q15" s="130"/>
      <c r="R15" s="130"/>
      <c r="S15" s="130"/>
    </row>
    <row r="16" ht="30.75" customHeight="1">
      <c r="A16" s="128"/>
      <c r="B16" s="145" t="s">
        <v>249</v>
      </c>
      <c r="C16" s="145"/>
      <c r="D16" s="138">
        <v>4</v>
      </c>
      <c r="E16" s="138">
        <v>4</v>
      </c>
      <c r="F16" s="146">
        <v>5</v>
      </c>
      <c r="G16" s="146">
        <v>5</v>
      </c>
      <c r="H16" s="146">
        <v>5</v>
      </c>
      <c r="I16" s="146">
        <v>7</v>
      </c>
      <c r="J16" s="153"/>
      <c r="K16" s="130"/>
      <c r="L16" s="130"/>
      <c r="M16" s="130"/>
      <c r="N16" s="130"/>
      <c r="O16" s="130"/>
      <c r="P16" s="130"/>
      <c r="Q16" s="130"/>
      <c r="R16" s="130"/>
      <c r="S16" s="130"/>
    </row>
    <row r="17" ht="30.75" customHeight="1">
      <c r="A17" s="128"/>
      <c r="B17" s="145" t="s">
        <v>250</v>
      </c>
      <c r="C17" s="145"/>
      <c r="D17" s="138">
        <v>1</v>
      </c>
      <c r="E17" s="138">
        <v>1</v>
      </c>
      <c r="F17" s="146">
        <v>1</v>
      </c>
      <c r="G17" s="146">
        <v>1</v>
      </c>
      <c r="H17" s="146">
        <v>2</v>
      </c>
      <c r="I17" s="146">
        <v>2</v>
      </c>
      <c r="J17" s="153"/>
      <c r="K17" s="130"/>
      <c r="L17" s="130"/>
      <c r="M17" s="130"/>
      <c r="N17" s="130"/>
      <c r="O17" s="130"/>
      <c r="P17" s="130"/>
      <c r="Q17" s="130"/>
      <c r="R17" s="130"/>
      <c r="S17" s="130"/>
    </row>
    <row r="18" ht="30.75" customHeight="1">
      <c r="A18" s="128"/>
      <c r="B18" s="145" t="s">
        <v>251</v>
      </c>
      <c r="C18" s="145"/>
      <c r="D18" s="138">
        <v>0</v>
      </c>
      <c r="E18" s="138">
        <v>0</v>
      </c>
      <c r="F18" s="146">
        <v>0</v>
      </c>
      <c r="G18" s="146">
        <v>0</v>
      </c>
      <c r="H18" s="146">
        <v>1</v>
      </c>
      <c r="I18" s="146">
        <v>1</v>
      </c>
      <c r="J18" s="153"/>
      <c r="K18" s="130"/>
      <c r="L18" s="130"/>
      <c r="M18" s="130"/>
      <c r="N18" s="130"/>
      <c r="O18" s="130"/>
      <c r="P18" s="130"/>
      <c r="Q18" s="130"/>
      <c r="R18" s="130"/>
      <c r="S18" s="130"/>
    </row>
    <row r="19" ht="16.5" customHeight="1">
      <c r="A19" s="128"/>
      <c r="B19" s="145"/>
      <c r="C19" s="145"/>
      <c r="D19" s="137">
        <f>((D13*12000)+(D14*8000)+(D15*20000)+(D16*10000)+(D17*10000)+D18)*12</f>
        <v>2808000</v>
      </c>
      <c r="E19" s="137">
        <f>((E13*14000)+(E14*9000)+(E15*22000)+(E16*12000)+(E17*15000)+E18)*12</f>
        <v>3672000</v>
      </c>
      <c r="F19" s="145">
        <f>((F13*15000)+(F14*10000)+(F15*23000)+(F16*15000)+(F17*17000)+F18)*12</f>
        <v>4896000</v>
      </c>
      <c r="G19" s="145">
        <f>((G13*18000)+(G14*11000)+(G15*24000)+(G16*20000)+(G17*20000)+(G18*35000))*12</f>
        <v>6612000</v>
      </c>
      <c r="H19" s="145">
        <f>((H13*21000)+(H14*12000)+(H15*25000)+(H16*21000)+(H17*22000)+(H18*45000))*12</f>
        <v>9456000</v>
      </c>
      <c r="I19" s="145">
        <f>((I13*25000)+(I14*13000)+(I15*26000)+(I16*22000)+(I17*28000)+(I18*48000))*12</f>
        <v>12204000</v>
      </c>
      <c r="J19" s="153"/>
      <c r="K19" s="130"/>
      <c r="L19" s="130"/>
      <c r="M19" s="130"/>
      <c r="N19" s="130"/>
      <c r="O19" s="130"/>
      <c r="P19" s="130"/>
      <c r="Q19" s="130"/>
      <c r="R19" s="130"/>
      <c r="S19" s="130"/>
    </row>
    <row r="20" ht="15" customHeight="1">
      <c r="A20" s="128"/>
      <c r="B20" s="145"/>
      <c r="C20" s="145"/>
      <c r="D20" s="137"/>
      <c r="E20" s="137">
        <v>0</v>
      </c>
      <c r="F20" s="145">
        <v>0</v>
      </c>
      <c r="G20" s="145">
        <v>0</v>
      </c>
      <c r="H20" s="145">
        <v>0</v>
      </c>
      <c r="I20" s="145">
        <v>0</v>
      </c>
      <c r="J20" s="153"/>
      <c r="K20" s="130"/>
      <c r="L20" s="130"/>
      <c r="M20" s="130"/>
      <c r="N20" s="130"/>
      <c r="O20" s="130"/>
      <c r="P20" s="130"/>
      <c r="Q20" s="130"/>
      <c r="R20" s="130"/>
      <c r="S20" s="130"/>
    </row>
    <row r="21" ht="16.5" customHeight="1">
      <c r="A21" s="128"/>
      <c r="B21" s="145"/>
      <c r="C21" s="145"/>
      <c r="D21" s="137"/>
      <c r="E21" s="137">
        <f t="shared" si="6" ref="E21:J29">E19+E20</f>
        <v>3672000</v>
      </c>
      <c r="F21" s="145">
        <f t="shared" si="6"/>
        <v>4896000</v>
      </c>
      <c r="G21" s="145">
        <f t="shared" si="6"/>
        <v>6612000</v>
      </c>
      <c r="H21" s="145">
        <f t="shared" si="6"/>
        <v>9456000</v>
      </c>
      <c r="I21" s="145">
        <f t="shared" si="6"/>
        <v>12204000</v>
      </c>
      <c r="J21" s="153"/>
      <c r="K21" s="130"/>
      <c r="L21" s="130"/>
      <c r="M21" s="130"/>
      <c r="N21" s="130"/>
      <c r="O21" s="130"/>
      <c r="P21" s="130"/>
      <c r="Q21" s="130"/>
      <c r="R21" s="130"/>
      <c r="S21" s="130"/>
    </row>
    <row r="22" ht="15" customHeight="1">
      <c r="A22" s="128"/>
      <c r="B22" s="155" t="s">
        <v>252</v>
      </c>
      <c r="C22" s="155" t="s">
        <v>253</v>
      </c>
      <c r="D22" s="156">
        <f>C3/B3</f>
        <v>37500</v>
      </c>
      <c r="E22" s="156">
        <f>10615000/290</f>
        <v>36603.4482758621</v>
      </c>
      <c r="F22" s="157">
        <f>14190000/350</f>
        <v>40542.8571428571</v>
      </c>
      <c r="G22" s="157">
        <f>16830000/410</f>
        <v>41048.7804878049</v>
      </c>
      <c r="H22" s="157">
        <f>21900000/500</f>
        <v>43800</v>
      </c>
      <c r="I22" s="157">
        <f>26970000/580</f>
        <v>46500</v>
      </c>
      <c r="J22" s="128"/>
      <c r="K22" s="128"/>
      <c r="L22" s="129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t="15" customHeight="1">
      <c r="A23" s="128"/>
      <c r="C23" s="128"/>
      <c r="D23" s="128"/>
      <c r="E23" s="128"/>
      <c r="F23" s="128"/>
      <c r="G23" s="128"/>
      <c r="H23" s="128"/>
      <c r="I23" s="128"/>
      <c r="J23" s="128"/>
      <c r="K23" s="128"/>
      <c r="L23" s="129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ht="15" customHeight="1">
      <c r="A24" s="128"/>
      <c r="C24" s="128"/>
      <c r="D24" s="128"/>
      <c r="E24" s="128"/>
      <c r="F24" s="128"/>
      <c r="G24" s="128"/>
      <c r="H24" s="128"/>
      <c r="I24" s="128"/>
      <c r="J24" s="128"/>
      <c r="K24" s="128"/>
      <c r="L24" s="129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ht="30.75" customHeight="1">
      <c r="A25" s="145"/>
      <c r="B25" s="145"/>
      <c r="C25" s="145"/>
      <c r="D25" s="158" t="s">
        <v>254</v>
      </c>
      <c r="E25" s="159"/>
      <c r="F25" s="145"/>
      <c r="G25" s="145"/>
      <c r="H25" s="145"/>
      <c r="I25" s="145"/>
      <c r="J25" s="128"/>
      <c r="K25" s="128"/>
      <c r="L25" s="129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t="16.5" customHeight="1">
      <c r="A26" s="140"/>
      <c r="B26" s="145" t="s">
        <v>213</v>
      </c>
      <c r="C26" s="145" t="s">
        <v>214</v>
      </c>
      <c r="D26" s="131" t="s">
        <v>215</v>
      </c>
      <c r="E26" s="131" t="s">
        <v>216</v>
      </c>
      <c r="F26" s="145" t="s">
        <v>217</v>
      </c>
      <c r="G26" s="145" t="s">
        <v>218</v>
      </c>
      <c r="H26" s="145" t="s">
        <v>219</v>
      </c>
      <c r="I26" s="145" t="s">
        <v>220</v>
      </c>
      <c r="J26" s="145" t="s">
        <v>255</v>
      </c>
      <c r="K26" s="128"/>
      <c r="L26" s="129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ht="45" customHeight="1">
      <c r="A27" s="145" t="s">
        <v>256</v>
      </c>
      <c r="B27" s="145">
        <v>60</v>
      </c>
      <c r="C27" s="145">
        <v>104</v>
      </c>
      <c r="D27" s="131">
        <v>45</v>
      </c>
      <c r="E27" s="131">
        <v>55</v>
      </c>
      <c r="F27" s="145">
        <v>90</v>
      </c>
      <c r="G27" s="145">
        <v>120</v>
      </c>
      <c r="H27" s="145">
        <v>145</v>
      </c>
      <c r="I27" s="145">
        <f>130+25</f>
        <v>155</v>
      </c>
      <c r="J27" s="152">
        <f>B3</f>
        <v>200</v>
      </c>
      <c r="K27" s="128"/>
      <c r="L27" s="129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ht="59.25" customHeight="1">
      <c r="A28" s="145" t="s">
        <v>257</v>
      </c>
      <c r="B28" s="145"/>
      <c r="C28" s="145"/>
      <c r="D28" s="145"/>
      <c r="E28" s="145"/>
      <c r="F28" s="145"/>
      <c r="G28" s="145"/>
      <c r="H28" s="145">
        <v>65</v>
      </c>
      <c r="I28" s="145">
        <v>95</v>
      </c>
      <c r="J28" s="145">
        <v>130</v>
      </c>
      <c r="K28" s="128"/>
      <c r="L28" s="129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16.5" customHeight="1">
      <c r="A29" s="145" t="s">
        <v>258</v>
      </c>
      <c r="B29" s="145">
        <v>60</v>
      </c>
      <c r="C29" s="145">
        <v>104</v>
      </c>
      <c r="D29" s="137">
        <v>45</v>
      </c>
      <c r="E29" s="137">
        <v>55</v>
      </c>
      <c r="F29" s="145">
        <v>90</v>
      </c>
      <c r="G29" s="145">
        <v>120</v>
      </c>
      <c r="H29" s="145">
        <f t="shared" si="6"/>
        <v>210</v>
      </c>
      <c r="I29" s="145">
        <f t="shared" si="6"/>
        <v>250</v>
      </c>
      <c r="J29" s="145">
        <f t="shared" si="6"/>
        <v>330</v>
      </c>
      <c r="K29" s="128"/>
      <c r="L29" s="129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ht="15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t="1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9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t="16.5" customHeight="1">
      <c r="A32" s="128"/>
      <c r="B32" s="149" t="s">
        <v>259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ht="30.75" customHeight="1">
      <c r="A33" s="128"/>
      <c r="B33" s="149" t="s">
        <v>260</v>
      </c>
      <c r="G33" s="128"/>
      <c r="H33" s="128"/>
      <c r="I33" s="128"/>
      <c r="J33" s="128"/>
      <c r="K33" s="128"/>
      <c r="L33" s="129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ht="15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9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ht="59.25" customHeight="1">
      <c r="A35" s="128"/>
      <c r="B35" s="149" t="s">
        <v>261</v>
      </c>
      <c r="G35" s="128"/>
      <c r="H35" s="128"/>
      <c r="I35" s="128"/>
      <c r="J35" s="128"/>
      <c r="K35" s="128"/>
      <c r="L35" s="129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ht="15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9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ht="30.75" customHeight="1">
      <c r="A37" s="128"/>
      <c r="B37" s="149" t="s">
        <v>262</v>
      </c>
      <c r="G37" s="128"/>
      <c r="H37" s="128"/>
      <c r="I37" s="128"/>
      <c r="J37" s="128"/>
      <c r="K37" s="128"/>
      <c r="L37" s="129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ht="15" customHeight="1">
      <c r="A38" s="128"/>
      <c r="G38" s="128"/>
      <c r="H38" s="128"/>
      <c r="I38" s="128"/>
      <c r="J38" s="128"/>
      <c r="K38" s="128"/>
      <c r="L38" s="129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t="30.75" customHeight="1">
      <c r="A39" s="128"/>
      <c r="B39" s="149" t="s">
        <v>263</v>
      </c>
      <c r="G39" s="128"/>
      <c r="H39" s="128"/>
      <c r="I39" s="128"/>
      <c r="J39" s="128"/>
      <c r="K39" s="128"/>
      <c r="L39" s="129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5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9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5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9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ht="15" customHeight="1">
      <c r="A42" s="128"/>
      <c r="B42" s="149"/>
      <c r="G42" s="128"/>
      <c r="H42" s="128"/>
      <c r="I42" s="128"/>
      <c r="J42" s="128"/>
      <c r="K42" s="128"/>
      <c r="L42" s="129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ht="15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9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ht="15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9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t="201.75" customHeight="1">
      <c r="A45" s="128"/>
      <c r="B45" s="128" t="s">
        <v>264</v>
      </c>
      <c r="C45" s="149" t="s">
        <v>265</v>
      </c>
      <c r="D45" s="128"/>
      <c r="E45" s="128"/>
      <c r="F45" s="128"/>
      <c r="G45" s="128"/>
      <c r="H45" s="128"/>
      <c r="I45" s="128"/>
      <c r="J45" s="128"/>
      <c r="K45" s="128"/>
      <c r="L45" s="129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t="15" customHeight="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9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t="15" customHeight="1">
      <c r="A47" s="128"/>
      <c r="B47" s="128"/>
      <c r="C47" s="128" t="s">
        <v>266</v>
      </c>
      <c r="D47" s="128"/>
      <c r="E47" s="128"/>
      <c r="F47" s="128"/>
      <c r="G47" s="128"/>
      <c r="H47" s="128"/>
      <c r="I47" s="128"/>
      <c r="J47" s="128"/>
      <c r="K47" s="128"/>
      <c r="L47" s="129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5" customHeight="1">
      <c r="A48" s="128"/>
      <c r="B48" s="128"/>
      <c r="C48" s="128" t="s">
        <v>267</v>
      </c>
      <c r="D48" s="128"/>
      <c r="E48" s="128" t="s">
        <v>268</v>
      </c>
      <c r="F48" s="128" t="s">
        <v>269</v>
      </c>
      <c r="G48" s="128" t="s">
        <v>270</v>
      </c>
      <c r="H48" s="128"/>
      <c r="I48" s="128"/>
      <c r="J48" s="128"/>
      <c r="K48" s="128"/>
      <c r="L48" s="129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5" customHeight="1">
      <c r="A49" s="128"/>
      <c r="B49" s="128"/>
      <c r="C49" s="128" t="s">
        <v>271</v>
      </c>
      <c r="D49" s="128">
        <v>4000000</v>
      </c>
      <c r="E49" s="160">
        <v>0.1025</v>
      </c>
      <c r="F49" s="128">
        <v>46000</v>
      </c>
      <c r="G49" s="128">
        <v>15</v>
      </c>
      <c r="H49" s="128"/>
      <c r="I49" s="128"/>
      <c r="J49" s="128"/>
      <c r="K49" s="128"/>
      <c r="L49" s="129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5" customHeight="1">
      <c r="A50" s="128"/>
      <c r="B50" s="128"/>
      <c r="C50" s="128" t="s">
        <v>272</v>
      </c>
      <c r="D50" s="128">
        <v>2600000</v>
      </c>
      <c r="E50" s="160">
        <v>0.098</v>
      </c>
      <c r="F50" s="128">
        <v>22000</v>
      </c>
      <c r="G50" s="128" t="s">
        <v>273</v>
      </c>
      <c r="H50" s="128"/>
      <c r="I50" s="128"/>
      <c r="J50" s="128"/>
      <c r="K50" s="128"/>
      <c r="L50" s="129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5" customHeight="1">
      <c r="A51" s="128"/>
      <c r="B51" s="128"/>
      <c r="C51" s="128" t="s">
        <v>169</v>
      </c>
      <c r="D51" s="128">
        <v>1000000</v>
      </c>
      <c r="E51" s="160">
        <v>0.098</v>
      </c>
      <c r="F51" s="128">
        <v>9000</v>
      </c>
      <c r="G51" s="128" t="s">
        <v>273</v>
      </c>
      <c r="H51" s="128"/>
      <c r="I51" s="128"/>
      <c r="J51" s="128"/>
      <c r="K51" s="128"/>
      <c r="L51" s="129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5" customHeight="1">
      <c r="A52" s="128"/>
      <c r="B52" s="128"/>
      <c r="C52" s="128" t="s">
        <v>274</v>
      </c>
      <c r="D52" s="128">
        <v>2000000</v>
      </c>
      <c r="E52" s="160">
        <v>0.1</v>
      </c>
      <c r="F52" s="128">
        <v>17000</v>
      </c>
      <c r="G52" s="128">
        <v>2</v>
      </c>
      <c r="H52" s="128"/>
      <c r="I52" s="128"/>
      <c r="J52" s="128"/>
      <c r="K52" s="128"/>
      <c r="L52" s="129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5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9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ht="15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9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5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9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ht="15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9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ht="15" customHeight="1">
      <c r="A57" s="128"/>
      <c r="B57" s="128"/>
      <c r="C57" s="149" t="s">
        <v>275</v>
      </c>
      <c r="D57" s="128"/>
      <c r="E57" s="128"/>
      <c r="F57" s="128"/>
      <c r="G57" s="128"/>
      <c r="H57" s="128"/>
      <c r="I57" s="128"/>
      <c r="J57" s="128"/>
      <c r="K57" s="128"/>
      <c r="L57" s="129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ht="15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9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ht="15" customHeight="1">
      <c r="A59" s="128"/>
      <c r="B59" s="128"/>
      <c r="C59" s="128" t="s">
        <v>276</v>
      </c>
      <c r="D59" s="128"/>
      <c r="E59" s="128"/>
      <c r="F59" s="128"/>
      <c r="G59" s="128"/>
      <c r="H59" s="128"/>
      <c r="I59" s="128"/>
      <c r="J59" s="128"/>
      <c r="K59" s="128"/>
      <c r="L59" s="129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ht="27.75" customHeight="1">
      <c r="C60" s="161" t="s">
        <v>277</v>
      </c>
      <c r="D60" s="162">
        <v>2000000</v>
      </c>
      <c r="E60" s="136" t="s">
        <v>278</v>
      </c>
    </row>
    <row r="61" ht="16.5" customHeight="1" s="163" customFormat="1">
      <c r="A61" s="128"/>
      <c r="B61" s="128"/>
      <c r="C61" s="128" t="s">
        <v>279</v>
      </c>
      <c r="D61" s="128">
        <v>8000000</v>
      </c>
      <c r="E61" s="164" t="s">
        <v>280</v>
      </c>
      <c r="F61" s="129"/>
      <c r="G61" s="129"/>
      <c r="H61" s="129"/>
      <c r="I61" s="129"/>
      <c r="J61" s="128"/>
      <c r="K61" s="128"/>
      <c r="L61" s="129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</row>
    <row r="62" ht="30.75" customHeight="1" s="163" customFormat="1">
      <c r="A62" s="128"/>
      <c r="B62" s="128"/>
      <c r="C62" s="128" t="s">
        <v>281</v>
      </c>
      <c r="D62" s="128">
        <v>2500000</v>
      </c>
      <c r="E62" s="164" t="s">
        <v>282</v>
      </c>
      <c r="F62" s="129"/>
      <c r="G62" s="129"/>
      <c r="H62" s="129"/>
      <c r="I62" s="129"/>
      <c r="J62" s="128"/>
      <c r="K62" s="128"/>
      <c r="L62" s="129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</row>
    <row r="63" ht="16.5" customHeight="1" s="163" customFormat="1">
      <c r="A63" s="128"/>
      <c r="B63" s="128"/>
      <c r="C63" s="128" t="s">
        <v>283</v>
      </c>
      <c r="D63" s="128">
        <v>2500000</v>
      </c>
      <c r="E63" s="164" t="s">
        <v>284</v>
      </c>
      <c r="F63" s="129"/>
      <c r="G63" s="129"/>
      <c r="H63" s="129"/>
      <c r="I63" s="129"/>
      <c r="J63" s="128"/>
      <c r="K63" s="128"/>
      <c r="L63" s="129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65"/>
      <c r="BD63" s="165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5"/>
      <c r="CG63" s="165"/>
      <c r="CH63" s="165"/>
      <c r="CI63" s="165"/>
      <c r="CJ63" s="165"/>
      <c r="CK63" s="165"/>
      <c r="CL63" s="165"/>
      <c r="CM63" s="165"/>
      <c r="CN63" s="165"/>
      <c r="CO63" s="165"/>
      <c r="CP63" s="165"/>
      <c r="CQ63" s="165"/>
      <c r="CR63" s="165"/>
      <c r="CS63" s="165"/>
      <c r="CT63" s="165"/>
      <c r="CU63" s="165"/>
      <c r="CV63" s="165"/>
    </row>
    <row r="64" ht="45" customHeight="1">
      <c r="A64" s="128"/>
      <c r="B64" s="128"/>
      <c r="C64" s="128" t="s">
        <v>285</v>
      </c>
      <c r="D64" s="128">
        <v>2500000</v>
      </c>
      <c r="E64" s="128"/>
      <c r="F64" s="128"/>
      <c r="G64" s="128"/>
      <c r="H64" s="128"/>
      <c r="I64" s="128"/>
      <c r="J64" s="128"/>
      <c r="K64" s="128"/>
      <c r="L64" s="129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16.5" customHeight="1">
      <c r="A65" s="128"/>
      <c r="B65" s="128"/>
      <c r="J65" s="128"/>
      <c r="K65" s="128"/>
      <c r="L65" s="129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ht="16.5" customHeight="1">
      <c r="A66" s="128"/>
      <c r="B66" s="128"/>
      <c r="J66" s="128"/>
      <c r="K66" s="128"/>
      <c r="L66" s="129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ht="16.5" customHeight="1">
      <c r="A67" s="128"/>
      <c r="B67" s="128"/>
      <c r="C67" s="129" t="s">
        <v>286</v>
      </c>
      <c r="D67" s="129"/>
      <c r="E67" s="129"/>
      <c r="F67" s="129"/>
      <c r="G67" s="129"/>
      <c r="H67" s="129"/>
      <c r="I67" s="129"/>
      <c r="J67" s="128"/>
      <c r="K67" s="128"/>
      <c r="L67" s="129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ht="16.5" customHeight="1">
      <c r="A68" s="128"/>
      <c r="B68" s="128"/>
      <c r="C68" s="129" t="s">
        <v>287</v>
      </c>
      <c r="D68" s="129"/>
      <c r="E68" s="129"/>
      <c r="F68" s="129"/>
      <c r="G68" s="129"/>
      <c r="H68" s="129"/>
      <c r="I68" s="129"/>
      <c r="J68" s="128"/>
      <c r="K68" s="128"/>
      <c r="L68" s="129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ht="15" customHeight="1">
      <c r="A69" s="128"/>
      <c r="B69" s="128"/>
      <c r="C69" s="129" t="s">
        <v>288</v>
      </c>
      <c r="D69" s="129"/>
      <c r="E69" s="129"/>
      <c r="F69" s="129"/>
      <c r="G69" s="129"/>
      <c r="H69" s="129"/>
      <c r="I69" s="129"/>
      <c r="J69" s="128"/>
      <c r="K69" s="128"/>
      <c r="L69" s="129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ht="15" customHeight="1">
      <c r="A70" s="128"/>
      <c r="B70" s="128"/>
      <c r="C70" s="129" t="s">
        <v>289</v>
      </c>
      <c r="D70" s="129"/>
      <c r="E70" s="129"/>
      <c r="F70" s="129"/>
      <c r="G70" s="129"/>
      <c r="H70" s="129"/>
      <c r="I70" s="129"/>
      <c r="J70" s="128"/>
      <c r="K70" s="128"/>
      <c r="L70" s="129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ht="15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9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ht="15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9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ht="15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9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ht="15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9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ht="15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9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ht="15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9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ht="15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9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ht="15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9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ht="1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9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ht="15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9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ht="15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9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ht="15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9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ht="15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9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ht="15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9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ht="15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9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ht="15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9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ht="1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9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9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9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9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9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ht="1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9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ht="1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9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ht="1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9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ht="1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9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ht="1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9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ht="1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9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ht="1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9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ht="1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9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ht="1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9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ht="1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9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ht="1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9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ht="1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9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ht="1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9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ht="1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9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ht="1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9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ht="1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9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ht="1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9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ht="1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9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ht="1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9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ht="1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9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ht="1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9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ht="1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9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ht="1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9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ht="1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9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ht="1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9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ht="1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9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ht="1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9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ht="1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9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ht="1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9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ht="1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9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ht="1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9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ht="1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9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ht="1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9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ht="1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9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ht="1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9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ht="1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9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ht="1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9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ht="1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9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ht="1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9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ht="1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9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ht="1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9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ht="1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9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ht="1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9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ht="1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9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ht="1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9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ht="1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9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ht="1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9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ht="1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9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ht="1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9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ht="1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9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ht="1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9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ht="1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9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ht="1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9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ht="1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9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ht="1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9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ht="1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9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ht="1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9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ht="1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9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ht="1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9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ht="1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9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ht="1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9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ht="1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9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ht="1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9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ht="1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9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ht="1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9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ht="1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9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ht="1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9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ht="1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9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ht="1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9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ht="1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9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ht="1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9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ht="1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9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ht="1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9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ht="1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9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ht="1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9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ht="1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9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ht="1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9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ht="1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9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ht="1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9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ht="1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9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ht="1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9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ht="1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9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ht="1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9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ht="1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9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ht="1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9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ht="1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9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ht="1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9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ht="1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9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ht="1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9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ht="1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9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ht="1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9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ht="1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9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ht="1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9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ht="1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9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ht="1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9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ht="1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9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ht="1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9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ht="1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9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ht="1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9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ht="1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9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ht="1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9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ht="1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9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ht="1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9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ht="1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9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ht="1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9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ht="1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9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ht="1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9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ht="1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9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ht="1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9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ht="1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9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ht="1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9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ht="1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9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ht="1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9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ht="1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9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ht="1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9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ht="1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9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ht="1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9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ht="1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9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ht="1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9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ht="1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9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ht="1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9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ht="1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9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ht="1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9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ht="1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9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ht="1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9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ht="1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9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ht="1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9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ht="1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9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ht="15" customHeight="1">
      <c r="I220" s="166"/>
    </row>
    <row r="221" ht="15" customHeight="1">
      <c r="I221" s="166"/>
    </row>
    <row r="222" ht="15" customHeight="1">
      <c r="I222" s="166"/>
    </row>
    <row r="223" ht="15" customHeight="1">
      <c r="I223" s="166"/>
    </row>
    <row r="224" ht="15" customHeight="1">
      <c r="I224" s="166"/>
    </row>
    <row r="225" ht="15" customHeight="1">
      <c r="I225" s="166"/>
    </row>
    <row r="226" ht="15" customHeight="1">
      <c r="I226" s="166"/>
    </row>
    <row r="227" ht="15" customHeight="1">
      <c r="I227" s="166"/>
    </row>
    <row r="228" ht="15" customHeight="1">
      <c r="I228" s="166"/>
    </row>
    <row r="229" ht="15" customHeight="1">
      <c r="I229" s="166"/>
    </row>
    <row r="230" ht="15" customHeight="1">
      <c r="I230" s="166"/>
    </row>
    <row r="231" ht="15" customHeight="1">
      <c r="I231" s="166"/>
    </row>
    <row r="232" ht="15" customHeight="1">
      <c r="I232" s="166"/>
    </row>
    <row r="233" ht="15" customHeight="1">
      <c r="I233" s="166"/>
    </row>
    <row r="234" ht="15" customHeight="1">
      <c r="I234" s="166"/>
    </row>
    <row r="235" ht="15" customHeight="1">
      <c r="I235" s="166"/>
    </row>
    <row r="236" ht="15" customHeight="1">
      <c r="I236" s="166"/>
    </row>
    <row r="237" ht="15" customHeight="1">
      <c r="I237" s="166"/>
    </row>
    <row r="238" ht="15" customHeight="1">
      <c r="I238" s="166"/>
    </row>
    <row r="239" ht="15" customHeight="1">
      <c r="I239" s="166"/>
    </row>
    <row r="240" ht="15" customHeight="1">
      <c r="I240" s="166"/>
    </row>
    <row r="241" ht="15" customHeight="1">
      <c r="I241" s="166"/>
    </row>
    <row r="242" ht="15" customHeight="1">
      <c r="I242" s="166"/>
    </row>
    <row r="243" ht="15" customHeight="1">
      <c r="I243" s="166"/>
    </row>
    <row r="244" ht="15" customHeight="1">
      <c r="I244" s="166"/>
    </row>
    <row r="245" ht="15" customHeight="1">
      <c r="I245" s="166"/>
    </row>
    <row r="246" ht="15" customHeight="1">
      <c r="I246" s="166"/>
    </row>
    <row r="247" ht="15" customHeight="1">
      <c r="I247" s="166"/>
    </row>
    <row r="248" ht="15" customHeight="1">
      <c r="I248" s="166"/>
    </row>
    <row r="249" ht="15" customHeight="1">
      <c r="I249" s="166"/>
    </row>
    <row r="250" ht="15" customHeight="1">
      <c r="I250" s="166"/>
    </row>
    <row r="251" ht="15" customHeight="1">
      <c r="I251" s="166"/>
    </row>
    <row r="252" ht="15" customHeight="1">
      <c r="I252" s="166"/>
    </row>
    <row r="253" ht="15" customHeight="1">
      <c r="I253" s="166"/>
    </row>
    <row r="254" ht="15" customHeight="1">
      <c r="I254" s="166"/>
    </row>
    <row r="255" ht="15" customHeight="1">
      <c r="I255" s="166"/>
    </row>
    <row r="256" ht="15" customHeight="1">
      <c r="I256" s="166"/>
    </row>
    <row r="257" ht="15" customHeight="1">
      <c r="I257" s="166"/>
    </row>
    <row r="258" ht="15" customHeight="1">
      <c r="I258" s="166"/>
    </row>
    <row r="259" ht="15" customHeight="1">
      <c r="I259" s="166"/>
    </row>
    <row r="260" ht="15" customHeight="1">
      <c r="I260" s="166"/>
    </row>
    <row r="261" ht="15" customHeight="1">
      <c r="I261" s="166"/>
    </row>
    <row r="262" ht="15" customHeight="1">
      <c r="I262" s="166"/>
    </row>
    <row r="263" ht="15" customHeight="1">
      <c r="I263" s="166"/>
    </row>
    <row r="264" ht="15" customHeight="1">
      <c r="I264" s="166"/>
    </row>
    <row r="265" ht="15" customHeight="1">
      <c r="I265" s="166"/>
    </row>
    <row r="266" ht="15" customHeight="1">
      <c r="I266" s="166"/>
    </row>
    <row r="267" ht="15" customHeight="1">
      <c r="I267" s="166"/>
    </row>
    <row r="268" ht="15" customHeight="1">
      <c r="I268" s="166"/>
    </row>
    <row r="269" ht="15" customHeight="1">
      <c r="I269" s="166"/>
    </row>
    <row r="270" ht="15" customHeight="1">
      <c r="I270" s="166"/>
    </row>
    <row r="271" ht="15" customHeight="1">
      <c r="I271" s="166"/>
    </row>
    <row r="272" ht="15" customHeight="1">
      <c r="I272" s="166"/>
    </row>
    <row r="273" ht="15" customHeight="1">
      <c r="I273" s="166"/>
    </row>
    <row r="274" ht="15" customHeight="1">
      <c r="I274" s="166"/>
    </row>
    <row r="275" ht="15" customHeight="1">
      <c r="I275" s="166"/>
    </row>
    <row r="276" ht="15" customHeight="1">
      <c r="I276" s="166"/>
    </row>
    <row r="277" ht="15" customHeight="1">
      <c r="I277" s="166"/>
    </row>
    <row r="278" ht="15" customHeight="1">
      <c r="I278" s="166"/>
    </row>
    <row r="279" ht="15" customHeight="1">
      <c r="I279" s="166"/>
    </row>
    <row r="280" ht="15" customHeight="1">
      <c r="I280" s="166"/>
    </row>
    <row r="281" ht="15" customHeight="1">
      <c r="I281" s="166"/>
    </row>
    <row r="282" ht="15" customHeight="1">
      <c r="I282" s="166"/>
    </row>
    <row r="283" ht="15" customHeight="1">
      <c r="I283" s="166"/>
    </row>
    <row r="284" ht="15" customHeight="1">
      <c r="I284" s="166"/>
    </row>
    <row r="285" ht="15" customHeight="1">
      <c r="I285" s="166"/>
    </row>
    <row r="286" ht="15" customHeight="1">
      <c r="I286" s="166"/>
    </row>
    <row r="287" ht="15" customHeight="1">
      <c r="I287" s="166"/>
    </row>
    <row r="288" ht="15" customHeight="1">
      <c r="I288" s="166"/>
    </row>
    <row r="289" ht="15" customHeight="1">
      <c r="I289" s="166"/>
    </row>
    <row r="290" ht="15" customHeight="1">
      <c r="I290" s="166"/>
    </row>
    <row r="291" ht="15" customHeight="1">
      <c r="I291" s="166"/>
    </row>
    <row r="292" ht="15" customHeight="1">
      <c r="I292" s="166"/>
    </row>
    <row r="293" ht="15" customHeight="1">
      <c r="I293" s="166"/>
    </row>
    <row r="294" ht="15" customHeight="1">
      <c r="I294" s="166"/>
    </row>
    <row r="295" ht="15" customHeight="1">
      <c r="I295" s="166"/>
    </row>
    <row r="296" ht="15" customHeight="1">
      <c r="I296" s="166"/>
    </row>
    <row r="297" ht="15" customHeight="1">
      <c r="I297" s="166"/>
    </row>
    <row r="298" ht="15" customHeight="1">
      <c r="I298" s="166"/>
    </row>
    <row r="299" ht="15" customHeight="1">
      <c r="I299" s="166"/>
    </row>
    <row r="300" ht="15" customHeight="1">
      <c r="I300" s="166"/>
    </row>
    <row r="301" ht="15" customHeight="1">
      <c r="I301" s="166"/>
    </row>
    <row r="302" ht="15" customHeight="1">
      <c r="I302" s="166"/>
    </row>
    <row r="303" ht="15" customHeight="1">
      <c r="I303" s="166"/>
    </row>
    <row r="304" ht="15" customHeight="1">
      <c r="I304" s="166"/>
    </row>
    <row r="305" ht="15" customHeight="1">
      <c r="I305" s="166"/>
    </row>
    <row r="306" ht="15" customHeight="1">
      <c r="I306" s="166"/>
    </row>
    <row r="307" ht="15" customHeight="1">
      <c r="I307" s="166"/>
    </row>
    <row r="308" ht="15" customHeight="1">
      <c r="I308" s="166"/>
    </row>
    <row r="309" ht="15" customHeight="1">
      <c r="I309" s="166"/>
    </row>
    <row r="310" ht="15" customHeight="1">
      <c r="I310" s="166"/>
    </row>
    <row r="311" ht="15" customHeight="1">
      <c r="I311" s="166"/>
    </row>
    <row r="312" ht="15" customHeight="1">
      <c r="I312" s="166"/>
    </row>
    <row r="313" ht="15" customHeight="1">
      <c r="I313" s="166"/>
    </row>
    <row r="314" ht="15" customHeight="1">
      <c r="I314" s="166"/>
    </row>
    <row r="315" ht="15" customHeight="1">
      <c r="I315" s="166"/>
    </row>
    <row r="316" ht="15" customHeight="1">
      <c r="I316" s="166"/>
    </row>
    <row r="317" ht="15" customHeight="1">
      <c r="I317" s="166"/>
    </row>
    <row r="318" ht="15" customHeight="1">
      <c r="I318" s="166"/>
    </row>
    <row r="319" ht="15" customHeight="1">
      <c r="I319" s="166"/>
    </row>
    <row r="320" ht="15" customHeight="1">
      <c r="I320" s="166"/>
    </row>
    <row r="321" ht="15" customHeight="1">
      <c r="I321" s="166"/>
    </row>
    <row r="322" ht="15" customHeight="1">
      <c r="I322" s="166"/>
    </row>
    <row r="323" ht="15" customHeight="1">
      <c r="I323" s="166"/>
    </row>
    <row r="324" ht="15" customHeight="1">
      <c r="I324" s="166"/>
    </row>
    <row r="325" ht="15" customHeight="1">
      <c r="I325" s="166"/>
    </row>
    <row r="326" ht="15" customHeight="1">
      <c r="I326" s="166"/>
    </row>
    <row r="327" ht="15" customHeight="1">
      <c r="I327" s="166"/>
    </row>
    <row r="328" ht="15" customHeight="1">
      <c r="I328" s="166"/>
    </row>
    <row r="329" ht="15" customHeight="1">
      <c r="I329" s="166"/>
    </row>
    <row r="330" ht="15" customHeight="1">
      <c r="I330" s="166"/>
    </row>
    <row r="331" ht="15" customHeight="1">
      <c r="I331" s="166"/>
    </row>
    <row r="332" ht="15" customHeight="1">
      <c r="I332" s="166"/>
    </row>
    <row r="333" ht="15" customHeight="1">
      <c r="I333" s="166"/>
    </row>
    <row r="334" ht="15" customHeight="1">
      <c r="I334" s="166"/>
    </row>
    <row r="335" ht="15" customHeight="1">
      <c r="I335" s="166"/>
    </row>
    <row r="336" ht="15" customHeight="1">
      <c r="I336" s="166"/>
    </row>
    <row r="337" ht="15" customHeight="1">
      <c r="I337" s="166"/>
    </row>
    <row r="338" ht="15" customHeight="1">
      <c r="I338" s="166"/>
    </row>
    <row r="339" ht="15" customHeight="1">
      <c r="I339" s="166"/>
    </row>
    <row r="340" ht="15" customHeight="1">
      <c r="I340" s="166"/>
    </row>
    <row r="341" ht="15" customHeight="1">
      <c r="I341" s="166"/>
    </row>
    <row r="342" ht="15" customHeight="1">
      <c r="I342" s="166"/>
    </row>
    <row r="343" ht="15" customHeight="1">
      <c r="I343" s="166"/>
    </row>
    <row r="344" ht="15" customHeight="1">
      <c r="I344" s="166"/>
    </row>
    <row r="345" ht="15" customHeight="1">
      <c r="I345" s="166"/>
    </row>
    <row r="346" ht="15" customHeight="1">
      <c r="I346" s="166"/>
    </row>
    <row r="347" ht="15" customHeight="1">
      <c r="I347" s="166"/>
    </row>
    <row r="348" ht="15" customHeight="1">
      <c r="I348" s="166"/>
    </row>
    <row r="349" ht="15" customHeight="1">
      <c r="I349" s="166"/>
    </row>
    <row r="350" ht="15" customHeight="1">
      <c r="I350" s="166"/>
    </row>
    <row r="351" ht="15" customHeight="1">
      <c r="I351" s="166"/>
    </row>
    <row r="352" ht="15" customHeight="1">
      <c r="I352" s="166"/>
    </row>
    <row r="353" ht="15" customHeight="1">
      <c r="I353" s="166"/>
    </row>
    <row r="354" ht="15" customHeight="1">
      <c r="I354" s="166"/>
    </row>
    <row r="355" ht="15" customHeight="1">
      <c r="I355" s="166"/>
    </row>
    <row r="356" ht="15" customHeight="1">
      <c r="I356" s="166"/>
    </row>
    <row r="357" ht="15" customHeight="1">
      <c r="I357" s="166"/>
    </row>
    <row r="358" ht="15" customHeight="1">
      <c r="I358" s="166"/>
    </row>
    <row r="359" ht="15" customHeight="1">
      <c r="I359" s="166"/>
    </row>
    <row r="360" ht="15" customHeight="1">
      <c r="I360" s="166"/>
    </row>
    <row r="361" ht="15" customHeight="1">
      <c r="I361" s="166"/>
    </row>
    <row r="362" ht="15" customHeight="1">
      <c r="I362" s="166"/>
    </row>
    <row r="363" ht="15" customHeight="1">
      <c r="I363" s="166"/>
    </row>
    <row r="364" ht="15" customHeight="1">
      <c r="I364" s="166"/>
    </row>
    <row r="365" ht="15" customHeight="1">
      <c r="I365" s="166"/>
    </row>
    <row r="366" ht="15" customHeight="1">
      <c r="I366" s="166"/>
    </row>
    <row r="367" ht="15" customHeight="1">
      <c r="I367" s="166"/>
    </row>
    <row r="368" ht="15" customHeight="1">
      <c r="I368" s="166"/>
    </row>
    <row r="369" ht="15" customHeight="1">
      <c r="I369" s="166"/>
    </row>
    <row r="370" ht="15" customHeight="1">
      <c r="I370" s="166"/>
    </row>
    <row r="371" ht="15" customHeight="1">
      <c r="I371" s="166"/>
    </row>
    <row r="372" ht="15" customHeight="1">
      <c r="I372" s="166"/>
    </row>
    <row r="373" ht="15" customHeight="1">
      <c r="I373" s="166"/>
    </row>
    <row r="374" ht="15" customHeight="1">
      <c r="I374" s="166"/>
    </row>
    <row r="375" ht="15" customHeight="1">
      <c r="I375" s="166"/>
    </row>
    <row r="376" ht="15" customHeight="1">
      <c r="I376" s="166"/>
    </row>
    <row r="377" ht="15" customHeight="1">
      <c r="I377" s="166"/>
    </row>
    <row r="378" ht="15" customHeight="1">
      <c r="I378" s="166"/>
    </row>
    <row r="379" ht="15" customHeight="1">
      <c r="I379" s="166"/>
    </row>
    <row r="380" ht="15" customHeight="1">
      <c r="I380" s="166"/>
    </row>
    <row r="381" ht="15" customHeight="1">
      <c r="I381" s="166"/>
    </row>
    <row r="382" ht="15" customHeight="1">
      <c r="I382" s="166"/>
    </row>
    <row r="383" ht="15" customHeight="1">
      <c r="I383" s="166"/>
    </row>
    <row r="384" ht="15" customHeight="1">
      <c r="I384" s="166"/>
    </row>
    <row r="385" ht="15" customHeight="1">
      <c r="I385" s="166"/>
    </row>
    <row r="386" ht="15" customHeight="1">
      <c r="I386" s="166"/>
    </row>
    <row r="387" ht="15" customHeight="1">
      <c r="I387" s="166"/>
    </row>
    <row r="388" ht="15" customHeight="1">
      <c r="I388" s="166"/>
    </row>
    <row r="389" ht="15" customHeight="1">
      <c r="I389" s="166"/>
    </row>
    <row r="390" ht="15" customHeight="1">
      <c r="I390" s="166"/>
    </row>
    <row r="391" ht="15" customHeight="1">
      <c r="I391" s="166"/>
    </row>
    <row r="392" ht="15" customHeight="1">
      <c r="I392" s="166"/>
    </row>
    <row r="393" ht="15" customHeight="1">
      <c r="I393" s="166"/>
    </row>
    <row r="394" ht="15" customHeight="1">
      <c r="I394" s="166"/>
    </row>
    <row r="395" ht="15" customHeight="1">
      <c r="I395" s="166"/>
    </row>
    <row r="396" ht="15" customHeight="1">
      <c r="I396" s="166"/>
    </row>
    <row r="397" ht="15" customHeight="1">
      <c r="I397" s="166"/>
    </row>
    <row r="398" ht="15" customHeight="1">
      <c r="I398" s="166"/>
    </row>
    <row r="399" ht="15" customHeight="1">
      <c r="I399" s="166"/>
    </row>
    <row r="400" ht="15" customHeight="1">
      <c r="I400" s="166"/>
    </row>
    <row r="401" ht="15" customHeight="1">
      <c r="I401" s="166"/>
    </row>
    <row r="402" ht="15" customHeight="1">
      <c r="I402" s="166"/>
    </row>
    <row r="403" ht="15" customHeight="1">
      <c r="I403" s="166"/>
    </row>
    <row r="404" ht="15" customHeight="1">
      <c r="I404" s="166"/>
    </row>
    <row r="405" ht="15" customHeight="1">
      <c r="I405" s="166"/>
    </row>
    <row r="406" ht="15" customHeight="1">
      <c r="I406" s="166"/>
    </row>
    <row r="407" ht="15" customHeight="1">
      <c r="I407" s="166"/>
    </row>
    <row r="408" ht="15" customHeight="1">
      <c r="I408" s="166"/>
    </row>
    <row r="409" ht="15" customHeight="1">
      <c r="I409" s="166"/>
    </row>
    <row r="410" ht="15" customHeight="1">
      <c r="I410" s="166"/>
    </row>
    <row r="411" ht="15" customHeight="1">
      <c r="I411" s="166"/>
    </row>
    <row r="412" ht="15" customHeight="1">
      <c r="I412" s="166"/>
    </row>
    <row r="413" ht="15" customHeight="1">
      <c r="I413" s="166"/>
    </row>
    <row r="414" ht="15" customHeight="1">
      <c r="I414" s="166"/>
    </row>
    <row r="415" ht="15" customHeight="1">
      <c r="I415" s="166"/>
    </row>
    <row r="416" ht="15" customHeight="1">
      <c r="I416" s="166"/>
    </row>
    <row r="417" ht="15" customHeight="1">
      <c r="I417" s="166"/>
    </row>
    <row r="418" ht="15" customHeight="1">
      <c r="I418" s="166"/>
    </row>
    <row r="419" ht="15" customHeight="1">
      <c r="I419" s="166"/>
    </row>
    <row r="420" ht="15" customHeight="1">
      <c r="I420" s="166"/>
    </row>
    <row r="421" ht="15" customHeight="1">
      <c r="I421" s="166"/>
    </row>
    <row r="422" ht="15" customHeight="1">
      <c r="I422" s="166"/>
    </row>
    <row r="423" ht="15" customHeight="1">
      <c r="I423" s="166"/>
    </row>
    <row r="424" ht="15" customHeight="1">
      <c r="I424" s="166"/>
    </row>
    <row r="425" ht="15" customHeight="1">
      <c r="I425" s="166"/>
    </row>
    <row r="426" ht="15" customHeight="1">
      <c r="I426" s="166"/>
    </row>
    <row r="427" ht="15" customHeight="1">
      <c r="I427" s="166"/>
    </row>
    <row r="428" ht="15" customHeight="1">
      <c r="I428" s="166"/>
    </row>
    <row r="429" ht="15" customHeight="1">
      <c r="I429" s="166"/>
    </row>
    <row r="430" ht="15" customHeight="1">
      <c r="I430" s="166"/>
    </row>
    <row r="431" ht="15" customHeight="1">
      <c r="I431" s="166"/>
    </row>
    <row r="432" ht="15" customHeight="1">
      <c r="I432" s="166"/>
    </row>
    <row r="433" ht="15" customHeight="1">
      <c r="I433" s="166"/>
    </row>
    <row r="434" ht="15" customHeight="1">
      <c r="I434" s="166"/>
    </row>
    <row r="435" ht="15" customHeight="1">
      <c r="I435" s="166"/>
    </row>
    <row r="436" ht="15" customHeight="1">
      <c r="I436" s="166"/>
    </row>
    <row r="437" ht="15" customHeight="1">
      <c r="I437" s="166"/>
    </row>
    <row r="438" ht="15" customHeight="1">
      <c r="I438" s="166"/>
    </row>
    <row r="439" ht="15" customHeight="1">
      <c r="I439" s="166"/>
    </row>
    <row r="440" ht="15" customHeight="1">
      <c r="I440" s="166"/>
    </row>
    <row r="441" ht="15" customHeight="1">
      <c r="I441" s="166"/>
    </row>
    <row r="442" ht="15" customHeight="1">
      <c r="I442" s="166"/>
    </row>
    <row r="443" ht="15" customHeight="1">
      <c r="I443" s="166"/>
    </row>
    <row r="444" ht="15" customHeight="1">
      <c r="I444" s="166"/>
    </row>
    <row r="445" ht="15" customHeight="1">
      <c r="I445" s="166"/>
    </row>
    <row r="446" ht="15" customHeight="1">
      <c r="I446" s="166"/>
    </row>
    <row r="447" ht="15" customHeight="1">
      <c r="I447" s="166"/>
    </row>
    <row r="448" ht="15" customHeight="1">
      <c r="I448" s="166"/>
    </row>
    <row r="449" ht="15" customHeight="1">
      <c r="I449" s="166"/>
    </row>
    <row r="450" ht="15" customHeight="1">
      <c r="I450" s="166"/>
    </row>
    <row r="451" ht="15" customHeight="1">
      <c r="I451" s="166"/>
    </row>
    <row r="452" ht="15" customHeight="1">
      <c r="I452" s="166"/>
    </row>
    <row r="453" ht="15" customHeight="1">
      <c r="I453" s="166"/>
    </row>
    <row r="454" ht="15" customHeight="1">
      <c r="I454" s="166"/>
    </row>
    <row r="455" ht="15" customHeight="1">
      <c r="I455" s="166"/>
    </row>
    <row r="456" ht="15" customHeight="1">
      <c r="I456" s="166"/>
    </row>
    <row r="457" ht="15" customHeight="1">
      <c r="I457" s="166"/>
    </row>
    <row r="458" ht="15" customHeight="1">
      <c r="I458" s="166"/>
    </row>
    <row r="459" ht="15" customHeight="1">
      <c r="I459" s="166"/>
    </row>
    <row r="460" ht="15" customHeight="1">
      <c r="I460" s="166"/>
    </row>
    <row r="461" ht="15" customHeight="1">
      <c r="I461" s="166"/>
    </row>
    <row r="462" ht="15" customHeight="1">
      <c r="I462" s="166"/>
    </row>
    <row r="463" ht="15" customHeight="1">
      <c r="I463" s="166"/>
    </row>
    <row r="464" ht="15" customHeight="1">
      <c r="I464" s="166"/>
    </row>
    <row r="465" ht="15" customHeight="1">
      <c r="I465" s="166"/>
    </row>
    <row r="466" ht="15" customHeight="1">
      <c r="I466" s="166"/>
    </row>
    <row r="467" ht="15" customHeight="1">
      <c r="I467" s="166"/>
    </row>
    <row r="468" ht="15" customHeight="1">
      <c r="I468" s="166"/>
    </row>
    <row r="469" ht="15" customHeight="1">
      <c r="I469" s="166"/>
    </row>
    <row r="470" ht="15" customHeight="1">
      <c r="I470" s="166"/>
    </row>
    <row r="471" ht="15" customHeight="1">
      <c r="I471" s="166"/>
    </row>
    <row r="472" ht="15" customHeight="1">
      <c r="I472" s="166"/>
    </row>
    <row r="473" ht="15" customHeight="1">
      <c r="I473" s="166"/>
    </row>
    <row r="474" ht="15" customHeight="1">
      <c r="I474" s="166"/>
    </row>
    <row r="475" ht="15" customHeight="1">
      <c r="I475" s="166"/>
    </row>
    <row r="476" ht="15" customHeight="1">
      <c r="I476" s="166"/>
    </row>
    <row r="477" ht="15" customHeight="1">
      <c r="I477" s="166"/>
    </row>
    <row r="478" ht="15" customHeight="1">
      <c r="I478" s="166"/>
    </row>
    <row r="479" ht="15" customHeight="1">
      <c r="I479" s="166"/>
    </row>
    <row r="480" ht="15" customHeight="1">
      <c r="I480" s="166"/>
    </row>
    <row r="481" ht="15" customHeight="1">
      <c r="I481" s="166"/>
    </row>
    <row r="482" ht="15" customHeight="1">
      <c r="I482" s="166"/>
    </row>
    <row r="483" ht="15" customHeight="1">
      <c r="I483" s="166"/>
    </row>
    <row r="484" ht="15" customHeight="1">
      <c r="I484" s="166"/>
    </row>
    <row r="485" ht="15" customHeight="1">
      <c r="I485" s="166"/>
    </row>
    <row r="486" ht="15" customHeight="1">
      <c r="I486" s="166"/>
    </row>
    <row r="487" ht="15" customHeight="1">
      <c r="I487" s="166"/>
    </row>
    <row r="488" ht="15" customHeight="1">
      <c r="I488" s="166"/>
    </row>
    <row r="489" ht="15" customHeight="1">
      <c r="I489" s="166"/>
    </row>
    <row r="490" ht="15" customHeight="1">
      <c r="I490" s="166"/>
    </row>
    <row r="491" ht="15" customHeight="1">
      <c r="I491" s="166"/>
    </row>
    <row r="492" ht="15" customHeight="1">
      <c r="I492" s="166"/>
    </row>
    <row r="493" ht="15" customHeight="1">
      <c r="I493" s="166"/>
    </row>
    <row r="494" ht="15" customHeight="1">
      <c r="I494" s="166"/>
    </row>
    <row r="495" ht="15" customHeight="1">
      <c r="I495" s="166"/>
    </row>
    <row r="496" ht="15" customHeight="1">
      <c r="I496" s="166"/>
    </row>
    <row r="497" ht="15" customHeight="1">
      <c r="I497" s="166"/>
    </row>
    <row r="498" ht="15" customHeight="1">
      <c r="I498" s="166"/>
    </row>
    <row r="499" ht="15" customHeight="1">
      <c r="I499" s="166"/>
    </row>
    <row r="500" ht="15" customHeight="1">
      <c r="I500" s="166"/>
    </row>
    <row r="501" ht="15" customHeight="1">
      <c r="I501" s="166"/>
    </row>
    <row r="502" ht="15" customHeight="1">
      <c r="I502" s="166"/>
    </row>
    <row r="503" ht="15" customHeight="1">
      <c r="I503" s="166"/>
    </row>
    <row r="504" ht="15" customHeight="1">
      <c r="I504" s="166"/>
    </row>
    <row r="505" ht="15" customHeight="1">
      <c r="I505" s="166"/>
    </row>
    <row r="506" ht="15" customHeight="1">
      <c r="I506" s="166"/>
    </row>
    <row r="507" ht="15" customHeight="1">
      <c r="I507" s="166"/>
    </row>
    <row r="508" ht="15" customHeight="1">
      <c r="I508" s="166"/>
    </row>
    <row r="509" ht="15" customHeight="1">
      <c r="I509" s="166"/>
    </row>
    <row r="510" ht="15" customHeight="1">
      <c r="I510" s="166"/>
    </row>
    <row r="511" ht="15" customHeight="1">
      <c r="I511" s="166"/>
    </row>
    <row r="512" ht="15" customHeight="1">
      <c r="I512" s="166"/>
    </row>
    <row r="513" ht="15" customHeight="1">
      <c r="I513" s="166"/>
    </row>
    <row r="514" ht="15" customHeight="1">
      <c r="I514" s="166"/>
    </row>
    <row r="515" ht="15" customHeight="1">
      <c r="I515" s="166"/>
    </row>
    <row r="516" ht="15" customHeight="1">
      <c r="I516" s="166"/>
    </row>
    <row r="517" ht="15" customHeight="1">
      <c r="I517" s="166"/>
    </row>
    <row r="518" ht="15" customHeight="1">
      <c r="I518" s="166"/>
    </row>
    <row r="519" ht="15" customHeight="1">
      <c r="I519" s="166"/>
    </row>
    <row r="520" ht="15" customHeight="1">
      <c r="I520" s="166"/>
    </row>
    <row r="521" ht="15" customHeight="1">
      <c r="I521" s="166"/>
    </row>
    <row r="522" ht="15" customHeight="1">
      <c r="I522" s="166"/>
    </row>
    <row r="523" ht="15" customHeight="1">
      <c r="I523" s="166"/>
    </row>
    <row r="524" ht="15" customHeight="1">
      <c r="I524" s="166"/>
    </row>
    <row r="525" ht="15" customHeight="1">
      <c r="I525" s="166"/>
    </row>
    <row r="526" ht="15" customHeight="1">
      <c r="I526" s="166"/>
    </row>
    <row r="527" ht="15" customHeight="1">
      <c r="I527" s="166"/>
    </row>
    <row r="528" ht="15" customHeight="1">
      <c r="I528" s="166"/>
    </row>
    <row r="529" ht="15" customHeight="1">
      <c r="I529" s="166"/>
    </row>
    <row r="530" ht="15" customHeight="1">
      <c r="I530" s="166"/>
    </row>
    <row r="531" ht="15" customHeight="1">
      <c r="I531" s="166"/>
    </row>
    <row r="532" ht="15" customHeight="1">
      <c r="I532" s="166"/>
    </row>
    <row r="533" ht="15" customHeight="1">
      <c r="I533" s="166"/>
    </row>
    <row r="534" ht="15" customHeight="1">
      <c r="I534" s="166"/>
    </row>
    <row r="535" ht="15" customHeight="1">
      <c r="I535" s="166"/>
    </row>
    <row r="536" ht="15" customHeight="1">
      <c r="I536" s="166"/>
    </row>
    <row r="537" ht="15" customHeight="1">
      <c r="I537" s="166"/>
    </row>
    <row r="538" ht="15" customHeight="1">
      <c r="I538" s="166"/>
    </row>
    <row r="539" ht="15" customHeight="1">
      <c r="I539" s="166"/>
    </row>
    <row r="540" ht="15" customHeight="1">
      <c r="I540" s="166"/>
    </row>
    <row r="541" ht="15" customHeight="1">
      <c r="I541" s="166"/>
    </row>
    <row r="542" ht="15" customHeight="1">
      <c r="I542" s="166"/>
    </row>
    <row r="543" ht="15" customHeight="1">
      <c r="I543" s="166"/>
    </row>
    <row r="544" ht="15" customHeight="1">
      <c r="I544" s="166"/>
    </row>
    <row r="545" ht="15" customHeight="1">
      <c r="I545" s="166"/>
    </row>
    <row r="546" ht="15" customHeight="1">
      <c r="I546" s="166"/>
    </row>
    <row r="547" ht="15" customHeight="1">
      <c r="I547" s="166"/>
    </row>
    <row r="548" ht="15" customHeight="1">
      <c r="I548" s="166"/>
    </row>
    <row r="549" ht="15" customHeight="1">
      <c r="I549" s="166"/>
    </row>
    <row r="550" ht="15" customHeight="1">
      <c r="I550" s="166"/>
    </row>
    <row r="551" ht="15" customHeight="1">
      <c r="I551" s="166"/>
    </row>
    <row r="552" ht="15" customHeight="1">
      <c r="I552" s="166"/>
    </row>
    <row r="553" ht="15" customHeight="1">
      <c r="I553" s="166"/>
    </row>
    <row r="554" ht="15" customHeight="1">
      <c r="I554" s="166"/>
    </row>
    <row r="555" ht="15" customHeight="1">
      <c r="I555" s="166"/>
    </row>
    <row r="556" ht="15" customHeight="1">
      <c r="I556" s="166"/>
    </row>
    <row r="557" ht="15" customHeight="1">
      <c r="I557" s="166"/>
    </row>
    <row r="558" ht="15" customHeight="1">
      <c r="I558" s="166"/>
    </row>
    <row r="559" ht="15" customHeight="1">
      <c r="I559" s="166"/>
    </row>
    <row r="560" ht="15" customHeight="1">
      <c r="I560" s="166"/>
    </row>
    <row r="561" ht="15" customHeight="1">
      <c r="I561" s="166"/>
    </row>
    <row r="562" ht="15" customHeight="1">
      <c r="I562" s="166"/>
    </row>
    <row r="563" ht="15" customHeight="1">
      <c r="I563" s="166"/>
    </row>
    <row r="564" ht="15" customHeight="1">
      <c r="I564" s="166"/>
    </row>
    <row r="565" ht="15" customHeight="1">
      <c r="I565" s="166"/>
    </row>
    <row r="566" ht="15" customHeight="1">
      <c r="I566" s="166"/>
    </row>
    <row r="567" ht="15" customHeight="1">
      <c r="I567" s="166"/>
    </row>
    <row r="568" ht="15" customHeight="1">
      <c r="I568" s="166"/>
    </row>
    <row r="569" ht="15" customHeight="1">
      <c r="I569" s="166"/>
    </row>
    <row r="570" ht="15" customHeight="1">
      <c r="I570" s="166"/>
    </row>
    <row r="571" ht="15" customHeight="1">
      <c r="I571" s="166"/>
    </row>
    <row r="572" ht="15" customHeight="1">
      <c r="I572" s="166"/>
    </row>
    <row r="573" ht="15" customHeight="1">
      <c r="I573" s="166"/>
    </row>
    <row r="574" ht="15" customHeight="1">
      <c r="I574" s="166"/>
    </row>
    <row r="575" ht="15" customHeight="1">
      <c r="I575" s="166"/>
    </row>
    <row r="576" ht="15" customHeight="1">
      <c r="I576" s="166"/>
    </row>
    <row r="577" ht="15" customHeight="1">
      <c r="I577" s="166"/>
    </row>
    <row r="578" ht="15" customHeight="1">
      <c r="I578" s="166"/>
    </row>
    <row r="579" ht="15" customHeight="1">
      <c r="I579" s="166"/>
    </row>
    <row r="580" ht="15" customHeight="1">
      <c r="I580" s="166"/>
    </row>
    <row r="581" ht="15" customHeight="1">
      <c r="I581" s="166"/>
    </row>
    <row r="582" ht="15" customHeight="1">
      <c r="I582" s="166"/>
    </row>
    <row r="583" ht="15" customHeight="1">
      <c r="I583" s="166"/>
    </row>
    <row r="584" ht="15" customHeight="1">
      <c r="I584" s="166"/>
    </row>
    <row r="585" ht="15" customHeight="1">
      <c r="I585" s="166"/>
    </row>
    <row r="586" ht="15" customHeight="1">
      <c r="I586" s="166"/>
    </row>
    <row r="587" ht="15" customHeight="1">
      <c r="I587" s="166"/>
    </row>
    <row r="588" ht="15" customHeight="1">
      <c r="I588" s="166"/>
    </row>
    <row r="589" ht="15" customHeight="1">
      <c r="I589" s="166"/>
    </row>
    <row r="590" ht="15" customHeight="1">
      <c r="I590" s="166"/>
    </row>
    <row r="591" ht="15" customHeight="1">
      <c r="I591" s="166"/>
    </row>
    <row r="592" ht="15" customHeight="1">
      <c r="I592" s="166"/>
    </row>
    <row r="593" ht="15" customHeight="1">
      <c r="I593" s="166"/>
    </row>
    <row r="594" ht="15" customHeight="1">
      <c r="I594" s="166"/>
    </row>
    <row r="595" ht="15" customHeight="1">
      <c r="I595" s="166"/>
    </row>
    <row r="596" ht="15" customHeight="1">
      <c r="I596" s="166"/>
    </row>
    <row r="597" ht="15" customHeight="1">
      <c r="I597" s="166"/>
    </row>
    <row r="598" ht="15" customHeight="1">
      <c r="I598" s="166"/>
    </row>
    <row r="599" ht="15" customHeight="1">
      <c r="I599" s="166"/>
    </row>
    <row r="600" ht="15" customHeight="1">
      <c r="I600" s="166"/>
    </row>
    <row r="601" ht="15" customHeight="1">
      <c r="I601" s="166"/>
    </row>
    <row r="602" ht="15" customHeight="1">
      <c r="I602" s="166"/>
    </row>
    <row r="603" ht="15" customHeight="1">
      <c r="I603" s="166"/>
    </row>
    <row r="604" ht="15" customHeight="1">
      <c r="I604" s="166"/>
    </row>
    <row r="605" ht="15" customHeight="1">
      <c r="I605" s="166"/>
    </row>
    <row r="606" ht="15" customHeight="1">
      <c r="I606" s="166"/>
    </row>
    <row r="607" ht="15" customHeight="1">
      <c r="I607" s="166"/>
    </row>
    <row r="608" ht="15" customHeight="1">
      <c r="I608" s="166"/>
    </row>
    <row r="609" ht="15" customHeight="1">
      <c r="I609" s="166"/>
    </row>
    <row r="610" ht="15" customHeight="1">
      <c r="I610" s="166"/>
    </row>
    <row r="611" ht="15" customHeight="1">
      <c r="I611" s="166"/>
    </row>
    <row r="612" ht="15" customHeight="1">
      <c r="I612" s="166"/>
    </row>
    <row r="613" ht="15" customHeight="1">
      <c r="I613" s="166"/>
    </row>
    <row r="614" ht="15" customHeight="1">
      <c r="I614" s="166"/>
    </row>
    <row r="615" ht="15" customHeight="1">
      <c r="I615" s="166"/>
    </row>
    <row r="616" ht="15" customHeight="1">
      <c r="I616" s="166"/>
    </row>
    <row r="617" ht="15" customHeight="1">
      <c r="I617" s="166"/>
    </row>
    <row r="618" ht="15" customHeight="1">
      <c r="I618" s="166"/>
    </row>
    <row r="619" ht="15" customHeight="1">
      <c r="I619" s="166"/>
    </row>
    <row r="620" ht="15" customHeight="1">
      <c r="I620" s="166"/>
    </row>
    <row r="621" ht="15" customHeight="1">
      <c r="I621" s="166"/>
    </row>
    <row r="622" ht="15" customHeight="1">
      <c r="I622" s="166"/>
    </row>
    <row r="623" ht="15" customHeight="1">
      <c r="I623" s="166"/>
    </row>
    <row r="624" ht="15" customHeight="1">
      <c r="I624" s="166"/>
    </row>
    <row r="625" ht="15" customHeight="1">
      <c r="I625" s="166"/>
    </row>
    <row r="626" ht="15" customHeight="1">
      <c r="I626" s="166"/>
    </row>
    <row r="627" ht="15" customHeight="1">
      <c r="I627" s="166"/>
    </row>
    <row r="628" ht="15" customHeight="1">
      <c r="I628" s="166"/>
    </row>
    <row r="629" ht="15" customHeight="1">
      <c r="I629" s="166"/>
    </row>
    <row r="630" ht="15" customHeight="1">
      <c r="I630" s="166"/>
    </row>
    <row r="631" ht="15" customHeight="1">
      <c r="I631" s="166"/>
    </row>
    <row r="632" ht="15" customHeight="1">
      <c r="I632" s="166"/>
    </row>
    <row r="633" ht="15" customHeight="1">
      <c r="I633" s="166"/>
    </row>
    <row r="634" ht="15" customHeight="1">
      <c r="I634" s="166"/>
    </row>
    <row r="635" ht="15" customHeight="1">
      <c r="I635" s="166"/>
    </row>
    <row r="636" ht="15" customHeight="1">
      <c r="I636" s="166"/>
    </row>
    <row r="637" ht="15" customHeight="1">
      <c r="I637" s="166"/>
    </row>
    <row r="638" ht="15" customHeight="1">
      <c r="I638" s="166"/>
    </row>
    <row r="639" ht="15" customHeight="1">
      <c r="I639" s="166"/>
    </row>
    <row r="640" ht="15" customHeight="1">
      <c r="I640" s="166"/>
    </row>
    <row r="641" ht="15" customHeight="1">
      <c r="I641" s="166"/>
    </row>
    <row r="642" ht="15" customHeight="1">
      <c r="I642" s="166"/>
    </row>
    <row r="643" ht="15" customHeight="1">
      <c r="I643" s="166"/>
    </row>
    <row r="644" ht="15" customHeight="1">
      <c r="I644" s="166"/>
    </row>
    <row r="645" ht="15" customHeight="1">
      <c r="I645" s="166"/>
    </row>
    <row r="646" ht="15" customHeight="1">
      <c r="I646" s="166"/>
    </row>
    <row r="647" ht="15" customHeight="1">
      <c r="I647" s="166"/>
    </row>
    <row r="648" ht="15" customHeight="1">
      <c r="I648" s="166"/>
    </row>
    <row r="649" ht="15" customHeight="1">
      <c r="I649" s="166"/>
    </row>
    <row r="650" ht="15" customHeight="1">
      <c r="I650" s="166"/>
    </row>
    <row r="651" ht="15" customHeight="1">
      <c r="I651" s="166"/>
    </row>
    <row r="652" ht="15" customHeight="1">
      <c r="I652" s="166"/>
    </row>
    <row r="653" ht="15" customHeight="1">
      <c r="I653" s="166"/>
    </row>
    <row r="654" ht="15" customHeight="1">
      <c r="I654" s="166"/>
    </row>
    <row r="655" ht="15" customHeight="1">
      <c r="I655" s="166"/>
    </row>
    <row r="656" ht="15" customHeight="1">
      <c r="I656" s="166"/>
    </row>
    <row r="657" ht="15" customHeight="1">
      <c r="I657" s="166"/>
    </row>
    <row r="658" ht="15" customHeight="1">
      <c r="I658" s="166"/>
    </row>
    <row r="659" ht="15" customHeight="1">
      <c r="I659" s="166"/>
    </row>
    <row r="660" ht="15" customHeight="1">
      <c r="I660" s="166"/>
    </row>
    <row r="661" ht="15" customHeight="1">
      <c r="I661" s="166"/>
    </row>
    <row r="662" ht="15" customHeight="1">
      <c r="I662" s="166"/>
    </row>
    <row r="663" ht="15" customHeight="1">
      <c r="I663" s="166"/>
    </row>
    <row r="664" ht="15" customHeight="1">
      <c r="I664" s="166"/>
    </row>
    <row r="665" ht="15" customHeight="1">
      <c r="I665" s="166"/>
    </row>
    <row r="666" ht="15" customHeight="1">
      <c r="I666" s="166"/>
    </row>
    <row r="667" ht="15" customHeight="1">
      <c r="I667" s="166"/>
    </row>
    <row r="668" ht="15" customHeight="1">
      <c r="I668" s="166"/>
    </row>
    <row r="669" ht="15" customHeight="1">
      <c r="I669" s="166"/>
    </row>
    <row r="670" ht="15" customHeight="1">
      <c r="I670" s="166"/>
    </row>
    <row r="671" ht="15" customHeight="1">
      <c r="I671" s="166"/>
    </row>
    <row r="672" ht="15" customHeight="1">
      <c r="I672" s="166"/>
    </row>
    <row r="673" ht="15" customHeight="1">
      <c r="I673" s="166"/>
    </row>
    <row r="674" ht="15" customHeight="1">
      <c r="I674" s="166"/>
    </row>
    <row r="675" ht="15" customHeight="1">
      <c r="I675" s="166"/>
    </row>
    <row r="676" ht="15" customHeight="1">
      <c r="I676" s="166"/>
    </row>
    <row r="677" ht="15" customHeight="1">
      <c r="I677" s="166"/>
    </row>
    <row r="678" ht="15" customHeight="1">
      <c r="I678" s="166"/>
    </row>
    <row r="679" ht="15" customHeight="1">
      <c r="I679" s="166"/>
    </row>
    <row r="680" ht="15" customHeight="1">
      <c r="I680" s="166"/>
    </row>
    <row r="681" ht="15" customHeight="1">
      <c r="I681" s="166"/>
    </row>
    <row r="682" ht="15" customHeight="1">
      <c r="I682" s="166"/>
    </row>
    <row r="683" ht="15" customHeight="1">
      <c r="I683" s="166"/>
    </row>
    <row r="684" ht="15" customHeight="1">
      <c r="I684" s="166"/>
    </row>
    <row r="685" ht="15" customHeight="1">
      <c r="I685" s="166"/>
    </row>
    <row r="686" ht="15" customHeight="1">
      <c r="I686" s="166"/>
    </row>
    <row r="687" ht="15" customHeight="1">
      <c r="I687" s="166"/>
    </row>
    <row r="688" ht="15" customHeight="1">
      <c r="I688" s="166"/>
    </row>
    <row r="689" ht="15" customHeight="1">
      <c r="I689" s="166"/>
    </row>
    <row r="690" ht="15" customHeight="1">
      <c r="I690" s="166"/>
    </row>
    <row r="691" ht="15" customHeight="1">
      <c r="I691" s="166"/>
    </row>
    <row r="692" ht="15" customHeight="1">
      <c r="I692" s="166"/>
    </row>
    <row r="693" ht="15" customHeight="1">
      <c r="I693" s="166"/>
    </row>
    <row r="694" ht="15" customHeight="1">
      <c r="I694" s="166"/>
    </row>
    <row r="695" ht="15" customHeight="1">
      <c r="I695" s="166"/>
    </row>
    <row r="696" ht="15" customHeight="1">
      <c r="I696" s="166"/>
    </row>
    <row r="697" ht="15" customHeight="1">
      <c r="I697" s="166"/>
    </row>
    <row r="698" ht="15" customHeight="1">
      <c r="I698" s="166"/>
    </row>
    <row r="699" ht="15" customHeight="1">
      <c r="I699" s="166"/>
    </row>
    <row r="700" ht="15" customHeight="1">
      <c r="I700" s="166"/>
    </row>
    <row r="701" ht="15" customHeight="1">
      <c r="I701" s="166"/>
    </row>
    <row r="702" ht="15" customHeight="1">
      <c r="I702" s="166"/>
    </row>
    <row r="703" ht="15" customHeight="1">
      <c r="I703" s="166"/>
    </row>
    <row r="704" ht="15" customHeight="1">
      <c r="I704" s="166"/>
    </row>
    <row r="705" ht="15" customHeight="1">
      <c r="I705" s="166"/>
    </row>
    <row r="706" ht="15" customHeight="1">
      <c r="I706" s="166"/>
    </row>
    <row r="707" ht="15" customHeight="1">
      <c r="I707" s="166"/>
    </row>
    <row r="708" ht="15" customHeight="1">
      <c r="I708" s="166"/>
    </row>
    <row r="709" ht="15" customHeight="1">
      <c r="I709" s="166"/>
    </row>
    <row r="710" ht="15" customHeight="1">
      <c r="I710" s="166"/>
    </row>
    <row r="711" ht="15" customHeight="1">
      <c r="I711" s="166"/>
    </row>
    <row r="712" ht="15" customHeight="1">
      <c r="I712" s="166"/>
    </row>
    <row r="713" ht="15" customHeight="1">
      <c r="I713" s="166"/>
    </row>
    <row r="714" ht="15" customHeight="1">
      <c r="I714" s="166"/>
    </row>
    <row r="715" ht="15" customHeight="1">
      <c r="I715" s="166"/>
    </row>
    <row r="716" ht="15" customHeight="1">
      <c r="I716" s="166"/>
    </row>
    <row r="717" ht="15" customHeight="1">
      <c r="I717" s="166"/>
    </row>
    <row r="718" ht="15" customHeight="1">
      <c r="I718" s="166"/>
    </row>
    <row r="719" ht="15" customHeight="1">
      <c r="I719" s="166"/>
    </row>
    <row r="720" ht="15" customHeight="1">
      <c r="I720" s="166"/>
    </row>
    <row r="721" ht="15" customHeight="1">
      <c r="I721" s="166"/>
    </row>
    <row r="722" ht="15" customHeight="1">
      <c r="I722" s="166"/>
    </row>
    <row r="723" ht="15" customHeight="1">
      <c r="I723" s="166"/>
    </row>
    <row r="724" ht="15" customHeight="1">
      <c r="I724" s="166"/>
    </row>
    <row r="725" ht="15" customHeight="1">
      <c r="I725" s="166"/>
    </row>
    <row r="726" ht="15" customHeight="1">
      <c r="I726" s="166"/>
    </row>
    <row r="727" ht="15" customHeight="1">
      <c r="I727" s="166"/>
    </row>
    <row r="728" ht="15" customHeight="1">
      <c r="I728" s="166"/>
    </row>
    <row r="729" ht="15" customHeight="1">
      <c r="I729" s="166"/>
    </row>
    <row r="730" ht="15" customHeight="1">
      <c r="I730" s="166"/>
    </row>
    <row r="731" ht="15" customHeight="1">
      <c r="I731" s="166"/>
    </row>
    <row r="732" ht="15" customHeight="1">
      <c r="I732" s="166"/>
    </row>
    <row r="733" ht="15" customHeight="1">
      <c r="I733" s="166"/>
    </row>
    <row r="734" ht="15" customHeight="1">
      <c r="I734" s="166"/>
    </row>
    <row r="735" ht="15" customHeight="1">
      <c r="I735" s="166"/>
    </row>
    <row r="736" ht="15" customHeight="1">
      <c r="I736" s="166"/>
    </row>
    <row r="737" ht="15" customHeight="1">
      <c r="I737" s="166"/>
    </row>
    <row r="738" ht="15" customHeight="1">
      <c r="I738" s="166"/>
    </row>
    <row r="739" ht="15" customHeight="1">
      <c r="I739" s="166"/>
    </row>
    <row r="740" ht="15" customHeight="1">
      <c r="I740" s="166"/>
    </row>
    <row r="741" ht="15" customHeight="1">
      <c r="I741" s="166"/>
    </row>
    <row r="742" ht="15" customHeight="1">
      <c r="I742" s="166"/>
    </row>
    <row r="743" ht="15" customHeight="1">
      <c r="I743" s="166"/>
    </row>
    <row r="744" ht="15" customHeight="1">
      <c r="I744" s="166"/>
    </row>
    <row r="745" ht="15" customHeight="1">
      <c r="I745" s="166"/>
    </row>
    <row r="746" ht="15" customHeight="1">
      <c r="I746" s="166"/>
    </row>
    <row r="747" ht="15" customHeight="1">
      <c r="I747" s="166"/>
    </row>
    <row r="748" ht="15" customHeight="1">
      <c r="I748" s="166"/>
    </row>
    <row r="749" ht="15" customHeight="1">
      <c r="I749" s="166"/>
    </row>
    <row r="750" ht="15" customHeight="1">
      <c r="I750" s="166"/>
    </row>
    <row r="751" ht="15" customHeight="1">
      <c r="I751" s="166"/>
    </row>
    <row r="752" ht="15" customHeight="1">
      <c r="I752" s="166"/>
    </row>
    <row r="753" ht="15" customHeight="1">
      <c r="I753" s="166"/>
    </row>
    <row r="754" ht="15" customHeight="1">
      <c r="I754" s="166"/>
    </row>
    <row r="755" ht="15" customHeight="1">
      <c r="I755" s="166"/>
    </row>
    <row r="756" ht="15" customHeight="1">
      <c r="I756" s="166"/>
    </row>
    <row r="757" ht="15" customHeight="1">
      <c r="I757" s="166"/>
    </row>
    <row r="758" ht="15" customHeight="1">
      <c r="I758" s="166"/>
    </row>
    <row r="759" ht="15" customHeight="1">
      <c r="I759" s="166"/>
    </row>
    <row r="760" ht="15" customHeight="1">
      <c r="I760" s="166"/>
    </row>
    <row r="761" ht="15" customHeight="1">
      <c r="I761" s="166"/>
    </row>
    <row r="762" ht="15" customHeight="1">
      <c r="I762" s="166"/>
    </row>
    <row r="763" ht="15" customHeight="1">
      <c r="I763" s="166"/>
    </row>
    <row r="764" ht="15" customHeight="1">
      <c r="I764" s="166"/>
    </row>
    <row r="765" ht="15" customHeight="1">
      <c r="I765" s="166"/>
    </row>
    <row r="766" ht="15" customHeight="1">
      <c r="I766" s="166"/>
    </row>
    <row r="767" ht="15" customHeight="1">
      <c r="I767" s="166"/>
    </row>
    <row r="768" ht="15" customHeight="1">
      <c r="I768" s="166"/>
    </row>
    <row r="769" ht="15" customHeight="1">
      <c r="I769" s="166"/>
    </row>
    <row r="770" ht="15" customHeight="1">
      <c r="I770" s="166"/>
    </row>
    <row r="771" ht="15" customHeight="1">
      <c r="I771" s="166"/>
    </row>
    <row r="772" ht="15" customHeight="1">
      <c r="I772" s="166"/>
    </row>
    <row r="773" ht="15" customHeight="1">
      <c r="I773" s="166"/>
    </row>
    <row r="774" ht="15" customHeight="1">
      <c r="I774" s="166"/>
    </row>
    <row r="775" ht="15" customHeight="1">
      <c r="I775" s="166"/>
    </row>
    <row r="776" ht="15" customHeight="1">
      <c r="I776" s="166"/>
    </row>
    <row r="777" ht="15" customHeight="1">
      <c r="I777" s="166"/>
    </row>
    <row r="778" ht="15" customHeight="1">
      <c r="I778" s="166"/>
    </row>
    <row r="779" ht="15" customHeight="1">
      <c r="I779" s="166"/>
    </row>
    <row r="780" ht="15" customHeight="1">
      <c r="I780" s="166"/>
    </row>
    <row r="781" ht="15" customHeight="1">
      <c r="I781" s="166"/>
    </row>
    <row r="782" ht="15" customHeight="1">
      <c r="I782" s="166"/>
    </row>
    <row r="783" ht="15" customHeight="1">
      <c r="I783" s="166"/>
    </row>
    <row r="784" ht="15" customHeight="1">
      <c r="I784" s="166"/>
    </row>
    <row r="785" ht="15" customHeight="1">
      <c r="I785" s="166"/>
    </row>
    <row r="786" ht="15" customHeight="1">
      <c r="I786" s="166"/>
    </row>
    <row r="787" ht="15" customHeight="1">
      <c r="I787" s="166"/>
    </row>
    <row r="788" ht="15" customHeight="1">
      <c r="I788" s="166"/>
    </row>
    <row r="789" ht="15" customHeight="1">
      <c r="I789" s="166"/>
    </row>
    <row r="790" ht="15" customHeight="1">
      <c r="I790" s="166"/>
    </row>
    <row r="791" ht="15" customHeight="1">
      <c r="I791" s="166"/>
    </row>
    <row r="792" ht="15" customHeight="1">
      <c r="I792" s="166"/>
    </row>
    <row r="793" ht="15" customHeight="1">
      <c r="I793" s="166"/>
    </row>
    <row r="794" ht="15" customHeight="1">
      <c r="I794" s="166"/>
    </row>
    <row r="795" ht="15" customHeight="1">
      <c r="I795" s="166"/>
    </row>
    <row r="796" ht="15" customHeight="1">
      <c r="I796" s="166"/>
    </row>
    <row r="797" ht="15" customHeight="1">
      <c r="I797" s="166"/>
    </row>
    <row r="798" ht="15" customHeight="1">
      <c r="I798" s="166"/>
    </row>
    <row r="799" ht="15" customHeight="1">
      <c r="I799" s="166"/>
    </row>
    <row r="800" ht="15" customHeight="1">
      <c r="I800" s="166"/>
    </row>
    <row r="801" ht="15" customHeight="1">
      <c r="I801" s="166"/>
    </row>
    <row r="802" ht="15" customHeight="1">
      <c r="I802" s="166"/>
    </row>
    <row r="803" ht="15" customHeight="1">
      <c r="I803" s="166"/>
    </row>
    <row r="804" ht="15" customHeight="1">
      <c r="I804" s="166"/>
    </row>
    <row r="805" ht="15" customHeight="1">
      <c r="I805" s="166"/>
    </row>
    <row r="806" ht="15" customHeight="1">
      <c r="I806" s="166"/>
    </row>
    <row r="807" ht="15" customHeight="1">
      <c r="I807" s="166"/>
    </row>
    <row r="808" ht="15" customHeight="1">
      <c r="I808" s="166"/>
    </row>
    <row r="809" ht="15" customHeight="1">
      <c r="I809" s="166"/>
    </row>
    <row r="810" ht="15" customHeight="1">
      <c r="I810" s="166"/>
    </row>
    <row r="811" ht="15" customHeight="1">
      <c r="I811" s="166"/>
    </row>
    <row r="812" ht="15" customHeight="1">
      <c r="I812" s="166"/>
    </row>
    <row r="813" ht="15" customHeight="1">
      <c r="I813" s="166"/>
    </row>
    <row r="814" ht="15" customHeight="1">
      <c r="I814" s="166"/>
    </row>
    <row r="815" ht="15" customHeight="1">
      <c r="I815" s="166"/>
    </row>
    <row r="816" ht="15" customHeight="1">
      <c r="I816" s="166"/>
    </row>
    <row r="817" ht="15" customHeight="1">
      <c r="I817" s="166"/>
    </row>
    <row r="818" ht="15" customHeight="1">
      <c r="I818" s="166"/>
    </row>
    <row r="819" ht="15" customHeight="1">
      <c r="I819" s="166"/>
    </row>
    <row r="820" ht="15" customHeight="1">
      <c r="I820" s="166"/>
    </row>
    <row r="821" ht="15" customHeight="1">
      <c r="I821" s="166"/>
    </row>
    <row r="822" ht="15" customHeight="1">
      <c r="I822" s="166"/>
    </row>
    <row r="823" ht="15" customHeight="1">
      <c r="I823" s="166"/>
    </row>
    <row r="824" ht="15" customHeight="1">
      <c r="I824" s="166"/>
    </row>
    <row r="825" ht="15" customHeight="1">
      <c r="I825" s="166"/>
    </row>
    <row r="826" ht="15" customHeight="1">
      <c r="I826" s="166"/>
    </row>
    <row r="827" ht="15" customHeight="1">
      <c r="I827" s="166"/>
    </row>
    <row r="828" ht="15" customHeight="1">
      <c r="I828" s="166"/>
    </row>
    <row r="829" ht="15" customHeight="1">
      <c r="I829" s="166"/>
    </row>
    <row r="830" ht="15" customHeight="1">
      <c r="I830" s="166"/>
    </row>
    <row r="831" ht="15" customHeight="1">
      <c r="I831" s="166"/>
    </row>
    <row r="832" ht="15" customHeight="1">
      <c r="I832" s="166"/>
    </row>
    <row r="833" ht="15" customHeight="1">
      <c r="I833" s="166"/>
    </row>
    <row r="834" ht="15" customHeight="1">
      <c r="I834" s="166"/>
    </row>
    <row r="835" ht="15" customHeight="1">
      <c r="I835" s="166"/>
    </row>
    <row r="836" ht="15" customHeight="1">
      <c r="I836" s="166"/>
    </row>
    <row r="837" ht="15" customHeight="1">
      <c r="I837" s="166"/>
    </row>
    <row r="838" ht="15" customHeight="1">
      <c r="I838" s="166"/>
    </row>
    <row r="839" ht="15" customHeight="1">
      <c r="I839" s="166"/>
    </row>
    <row r="840" ht="15" customHeight="1">
      <c r="I840" s="166"/>
    </row>
    <row r="841" ht="15" customHeight="1">
      <c r="I841" s="166"/>
    </row>
    <row r="842" ht="15" customHeight="1">
      <c r="I842" s="166"/>
    </row>
    <row r="843" ht="15" customHeight="1">
      <c r="I843" s="166"/>
    </row>
    <row r="844" ht="15" customHeight="1">
      <c r="I844" s="166"/>
    </row>
    <row r="845" ht="15" customHeight="1">
      <c r="I845" s="166"/>
    </row>
    <row r="846" ht="15" customHeight="1">
      <c r="I846" s="166"/>
    </row>
    <row r="847" ht="15" customHeight="1">
      <c r="I847" s="166"/>
    </row>
    <row r="848" ht="15" customHeight="1">
      <c r="I848" s="166"/>
    </row>
    <row r="849" ht="15" customHeight="1">
      <c r="I849" s="166"/>
    </row>
    <row r="850" ht="15" customHeight="1">
      <c r="I850" s="166"/>
    </row>
    <row r="851" ht="15" customHeight="1">
      <c r="I851" s="166"/>
    </row>
    <row r="852" ht="15" customHeight="1">
      <c r="I852" s="166"/>
    </row>
    <row r="853" ht="15" customHeight="1">
      <c r="I853" s="166"/>
    </row>
    <row r="854" ht="15" customHeight="1">
      <c r="I854" s="166"/>
    </row>
    <row r="855" ht="15" customHeight="1">
      <c r="I855" s="166"/>
    </row>
    <row r="856" ht="15" customHeight="1">
      <c r="I856" s="166"/>
    </row>
    <row r="857" ht="15" customHeight="1">
      <c r="I857" s="166"/>
    </row>
    <row r="858" ht="15" customHeight="1">
      <c r="I858" s="166"/>
    </row>
    <row r="859" ht="15" customHeight="1">
      <c r="I859" s="166"/>
    </row>
    <row r="860" ht="15" customHeight="1">
      <c r="I860" s="166"/>
    </row>
    <row r="861" ht="15" customHeight="1">
      <c r="I861" s="166"/>
    </row>
    <row r="862" ht="15" customHeight="1">
      <c r="I862" s="166"/>
    </row>
    <row r="863" ht="15" customHeight="1">
      <c r="I863" s="166"/>
    </row>
    <row r="864" ht="15" customHeight="1">
      <c r="I864" s="166"/>
    </row>
    <row r="865" ht="15" customHeight="1">
      <c r="I865" s="166"/>
    </row>
    <row r="866" ht="15" customHeight="1">
      <c r="I866" s="166"/>
    </row>
    <row r="867" ht="15" customHeight="1">
      <c r="I867" s="166"/>
    </row>
    <row r="868" ht="15" customHeight="1">
      <c r="I868" s="166"/>
    </row>
    <row r="869" ht="15" customHeight="1">
      <c r="I869" s="166"/>
    </row>
    <row r="870" ht="15" customHeight="1">
      <c r="I870" s="166"/>
    </row>
    <row r="871" ht="15" customHeight="1">
      <c r="I871" s="166"/>
    </row>
    <row r="872" ht="15" customHeight="1">
      <c r="I872" s="166"/>
    </row>
    <row r="873" ht="15" customHeight="1">
      <c r="I873" s="166"/>
    </row>
    <row r="874" ht="15" customHeight="1">
      <c r="I874" s="166"/>
    </row>
    <row r="875" ht="15" customHeight="1">
      <c r="I875" s="166"/>
    </row>
    <row r="876" ht="15" customHeight="1">
      <c r="I876" s="166"/>
    </row>
    <row r="877" ht="15" customHeight="1">
      <c r="I877" s="166"/>
    </row>
    <row r="878" ht="15" customHeight="1">
      <c r="I878" s="166"/>
    </row>
    <row r="879" ht="15" customHeight="1">
      <c r="I879" s="166"/>
    </row>
    <row r="880" ht="15" customHeight="1">
      <c r="I880" s="166"/>
    </row>
    <row r="881" ht="15" customHeight="1">
      <c r="I881" s="166"/>
    </row>
    <row r="882" ht="15" customHeight="1">
      <c r="I882" s="166"/>
    </row>
    <row r="883" ht="15" customHeight="1">
      <c r="I883" s="166"/>
    </row>
    <row r="884" ht="15" customHeight="1">
      <c r="I884" s="166"/>
    </row>
    <row r="885" ht="15" customHeight="1">
      <c r="I885" s="166"/>
    </row>
    <row r="886" ht="15" customHeight="1">
      <c r="I886" s="166"/>
    </row>
    <row r="887" ht="15" customHeight="1">
      <c r="I887" s="166"/>
    </row>
    <row r="888" ht="15" customHeight="1">
      <c r="I888" s="166"/>
    </row>
    <row r="889" ht="15" customHeight="1">
      <c r="I889" s="166"/>
    </row>
    <row r="890" ht="15" customHeight="1">
      <c r="I890" s="166"/>
    </row>
    <row r="891" ht="15" customHeight="1">
      <c r="I891" s="166"/>
    </row>
    <row r="892" ht="15" customHeight="1">
      <c r="I892" s="166"/>
    </row>
    <row r="893" ht="15" customHeight="1">
      <c r="I893" s="166"/>
    </row>
    <row r="894" ht="15" customHeight="1">
      <c r="I894" s="166"/>
    </row>
    <row r="895" ht="15" customHeight="1">
      <c r="I895" s="166"/>
    </row>
    <row r="896" ht="15" customHeight="1">
      <c r="I896" s="166"/>
    </row>
    <row r="897" ht="15" customHeight="1">
      <c r="I897" s="166"/>
    </row>
    <row r="898" ht="15" customHeight="1">
      <c r="I898" s="166"/>
    </row>
    <row r="899" ht="15" customHeight="1">
      <c r="I899" s="166"/>
    </row>
    <row r="900" ht="15" customHeight="1">
      <c r="I900" s="166"/>
    </row>
    <row r="901" ht="15" customHeight="1">
      <c r="I901" s="166"/>
    </row>
    <row r="902" ht="15" customHeight="1">
      <c r="I902" s="166"/>
    </row>
    <row r="903" ht="15" customHeight="1">
      <c r="I903" s="166"/>
    </row>
    <row r="904" ht="15" customHeight="1">
      <c r="I904" s="166"/>
    </row>
    <row r="905" ht="15" customHeight="1">
      <c r="I905" s="166"/>
    </row>
    <row r="906" ht="15" customHeight="1">
      <c r="I906" s="166"/>
    </row>
    <row r="907" ht="15" customHeight="1">
      <c r="I907" s="166"/>
    </row>
    <row r="908" ht="15" customHeight="1">
      <c r="I908" s="166"/>
    </row>
    <row r="909" ht="15" customHeight="1">
      <c r="I909" s="166"/>
    </row>
    <row r="910" ht="15" customHeight="1">
      <c r="I910" s="166"/>
    </row>
    <row r="911" ht="15" customHeight="1">
      <c r="I911" s="166"/>
    </row>
    <row r="912" ht="15" customHeight="1">
      <c r="I912" s="166"/>
    </row>
    <row r="913" ht="15" customHeight="1">
      <c r="I913" s="166"/>
    </row>
    <row r="914" ht="15" customHeight="1">
      <c r="I914" s="166"/>
    </row>
    <row r="915" ht="15" customHeight="1">
      <c r="I915" s="166"/>
    </row>
    <row r="916" ht="15" customHeight="1">
      <c r="I916" s="166"/>
    </row>
    <row r="917" ht="15" customHeight="1">
      <c r="I917" s="166"/>
    </row>
    <row r="918" ht="15" customHeight="1">
      <c r="I918" s="166"/>
    </row>
    <row r="919" ht="15" customHeight="1">
      <c r="I919" s="166"/>
    </row>
    <row r="920" ht="15" customHeight="1">
      <c r="I920" s="166"/>
    </row>
    <row r="921" ht="15" customHeight="1">
      <c r="I921" s="166"/>
    </row>
    <row r="922" ht="15" customHeight="1">
      <c r="I922" s="166"/>
    </row>
    <row r="923" ht="15" customHeight="1">
      <c r="I923" s="166"/>
    </row>
    <row r="924" ht="15" customHeight="1">
      <c r="I924" s="166"/>
    </row>
    <row r="925" ht="15" customHeight="1">
      <c r="I925" s="166"/>
    </row>
    <row r="926" ht="15" customHeight="1">
      <c r="I926" s="166"/>
    </row>
    <row r="927" ht="15" customHeight="1">
      <c r="I927" s="166"/>
    </row>
    <row r="928" ht="15" customHeight="1">
      <c r="I928" s="166"/>
    </row>
    <row r="929" ht="15" customHeight="1">
      <c r="I929" s="166"/>
    </row>
    <row r="930" ht="15" customHeight="1">
      <c r="I930" s="166"/>
    </row>
    <row r="931" ht="15" customHeight="1">
      <c r="I931" s="166"/>
    </row>
    <row r="932" ht="15" customHeight="1">
      <c r="I932" s="166"/>
    </row>
    <row r="933" ht="15" customHeight="1">
      <c r="I933" s="166"/>
    </row>
    <row r="934" ht="15" customHeight="1">
      <c r="I934" s="166"/>
    </row>
    <row r="935" ht="15" customHeight="1">
      <c r="I935" s="166"/>
    </row>
    <row r="936" ht="15" customHeight="1">
      <c r="I936" s="166"/>
    </row>
    <row r="937" ht="15" customHeight="1">
      <c r="I937" s="166"/>
    </row>
    <row r="938" ht="15" customHeight="1">
      <c r="I938" s="166"/>
    </row>
    <row r="939" ht="15" customHeight="1">
      <c r="I939" s="166"/>
    </row>
    <row r="940" ht="15" customHeight="1">
      <c r="I940" s="166"/>
    </row>
    <row r="941" ht="15" customHeight="1">
      <c r="I941" s="166"/>
    </row>
    <row r="942" ht="15" customHeight="1">
      <c r="I942" s="166"/>
    </row>
    <row r="943" ht="15" customHeight="1">
      <c r="I943" s="166"/>
    </row>
    <row r="944" ht="15" customHeight="1">
      <c r="I944" s="166"/>
    </row>
    <row r="945" ht="15" customHeight="1">
      <c r="I945" s="166"/>
    </row>
    <row r="946" ht="15" customHeight="1">
      <c r="I946" s="166"/>
    </row>
    <row r="947" ht="15" customHeight="1">
      <c r="I947" s="166"/>
    </row>
    <row r="948" ht="15" customHeight="1">
      <c r="I948" s="166"/>
    </row>
    <row r="949" ht="15" customHeight="1">
      <c r="I949" s="166"/>
    </row>
    <row r="950" ht="15" customHeight="1">
      <c r="I950" s="166"/>
    </row>
    <row r="951" ht="15" customHeight="1">
      <c r="I951" s="166"/>
    </row>
    <row r="952" ht="15" customHeight="1">
      <c r="I952" s="166"/>
    </row>
    <row r="953" ht="15" customHeight="1">
      <c r="I953" s="166"/>
    </row>
    <row r="954" ht="15" customHeight="1">
      <c r="I954" s="166"/>
    </row>
    <row r="955" ht="15" customHeight="1">
      <c r="I955" s="166"/>
    </row>
    <row r="956" ht="15" customHeight="1">
      <c r="I956" s="166"/>
    </row>
    <row r="957" ht="15" customHeight="1">
      <c r="I957" s="166"/>
    </row>
    <row r="958" ht="15" customHeight="1">
      <c r="I958" s="166"/>
    </row>
    <row r="959" ht="15" customHeight="1">
      <c r="I959" s="166"/>
    </row>
    <row r="960" ht="15" customHeight="1">
      <c r="I960" s="166"/>
    </row>
    <row r="961" ht="15" customHeight="1">
      <c r="I961" s="166"/>
    </row>
    <row r="962" ht="15" customHeight="1">
      <c r="I962" s="166"/>
    </row>
    <row r="963" ht="15" customHeight="1">
      <c r="I963" s="166"/>
    </row>
    <row r="964" ht="15" customHeight="1">
      <c r="I964" s="166"/>
    </row>
    <row r="965" ht="15" customHeight="1">
      <c r="I965" s="166"/>
    </row>
    <row r="966" ht="15" customHeight="1">
      <c r="I966" s="166"/>
    </row>
    <row r="967" ht="15" customHeight="1">
      <c r="I967" s="166"/>
    </row>
    <row r="968" ht="15" customHeight="1">
      <c r="I968" s="166"/>
    </row>
    <row r="969" ht="15" customHeight="1">
      <c r="I969" s="166"/>
    </row>
    <row r="970" ht="15" customHeight="1">
      <c r="I970" s="166"/>
    </row>
    <row r="971" ht="15" customHeight="1">
      <c r="I971" s="166"/>
    </row>
    <row r="972" ht="15" customHeight="1">
      <c r="I972" s="166"/>
    </row>
    <row r="973" ht="15" customHeight="1">
      <c r="I973" s="166"/>
    </row>
  </sheetData>
  <mergeCells>
    <mergeCell ref="D25:E25"/>
    <mergeCell ref="B33:F33"/>
    <mergeCell ref="B35:F35"/>
    <mergeCell ref="B37:F37"/>
    <mergeCell ref="B39:F39"/>
    <mergeCell ref="B42:F42"/>
    <mergeCell ref="C67:I67"/>
    <mergeCell ref="C68:I68"/>
    <mergeCell ref="C69:I69"/>
    <mergeCell ref="C70:I70"/>
    <mergeCell ref="C47:F47"/>
  </mergeCells>
  <printOptions/>
  <pageMargins left="0.7" right="0.7" top="0.75" bottom="0.75" header="0" footer="0"/>
  <pageSetup paperSize="1" pageOrder="downThenOver" orientation="portrait"/>
  <headerFooter>
    <oddHeader>&amp;L&amp;C&amp;R</oddHeader>
    <oddFooter>&amp;L&amp;C&amp;R</oddFooter>
  </headerFooter>
  <drawing r:id="rId3"/>
  <legacyDrawing r:id="rId2"/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462D068-FE08-B1E8-BE48-6B1171BF92B8}" mc:Ignorable="x14ac xr xr2 xr3">
  <dimension ref="A1:CV10000"/>
  <sheetViews>
    <sheetView topLeftCell="A40" workbookViewId="0">
      <selection activeCell="B23" sqref="B23:F25"/>
    </sheetView>
  </sheetViews>
  <sheetFormatPr defaultRowHeight="15" defaultColWidth="8.8515625" customHeight="1"/>
  <cols>
    <col min="2" max="2" width="65.7109375" customWidth="1"/>
    <col min="3" max="3" width="23.57421875" customWidth="1"/>
    <col min="4" max="4" width="14.28125" customWidth="1"/>
    <col min="5" max="5" width="23.57421875" customWidth="1"/>
    <col min="6" max="6" width="38.57421875" customWidth="1"/>
  </cols>
  <sheetData>
    <row r="2" ht="21" customHeight="1">
      <c r="B2" s="167" t="s">
        <v>290</v>
      </c>
      <c r="C2" s="168"/>
    </row>
    <row r="3" ht="31.5" customHeight="1">
      <c r="B3" s="169" t="s">
        <v>291</v>
      </c>
      <c r="C3" s="168"/>
    </row>
    <row r="4" ht="18" customHeight="1">
      <c r="B4" s="169" t="s">
        <v>292</v>
      </c>
      <c r="C4" s="168"/>
    </row>
    <row r="5" ht="15" customHeight="1">
      <c r="B5" s="168"/>
      <c r="C5" s="168"/>
    </row>
    <row r="6" ht="18" customHeight="1">
      <c r="B6" s="170" t="s">
        <v>293</v>
      </c>
      <c r="C6" s="171" t="s">
        <v>294</v>
      </c>
    </row>
    <row r="7" ht="15" customHeight="1">
      <c r="B7" s="168"/>
      <c r="C7" s="168"/>
    </row>
    <row r="8" ht="15" customHeight="1">
      <c r="B8" s="172" t="s">
        <v>295</v>
      </c>
      <c r="C8" s="168"/>
    </row>
    <row r="9" ht="15" customHeight="1">
      <c r="B9" s="173" t="s">
        <v>296</v>
      </c>
      <c r="C9" s="168"/>
    </row>
    <row r="10" ht="15" customHeight="1">
      <c r="B10" s="174" t="s">
        <v>297</v>
      </c>
      <c r="C10" s="168"/>
    </row>
    <row r="11" ht="15" customHeight="1">
      <c r="B11" s="175" t="s">
        <v>298</v>
      </c>
      <c r="C11" s="176">
        <v>14976444</v>
      </c>
    </row>
    <row r="12" ht="15" customHeight="1">
      <c r="B12" s="175" t="s">
        <v>299</v>
      </c>
      <c r="C12" s="176">
        <v>0</v>
      </c>
    </row>
    <row r="13" ht="15" customHeight="1">
      <c r="B13" s="175" t="s">
        <v>300</v>
      </c>
      <c r="C13" s="176">
        <v>0</v>
      </c>
    </row>
    <row r="14" ht="15" customHeight="1">
      <c r="B14" s="175" t="s">
        <v>301</v>
      </c>
      <c r="C14" s="176">
        <v>0</v>
      </c>
    </row>
    <row r="15" ht="15" customHeight="1">
      <c r="B15" s="168"/>
      <c r="C15" s="177"/>
    </row>
    <row r="16" ht="15" customHeight="1">
      <c r="B16" s="175" t="s">
        <v>302</v>
      </c>
      <c r="C16" s="176">
        <v>0</v>
      </c>
    </row>
    <row r="17" ht="15" customHeight="1">
      <c r="B17" s="175" t="s">
        <v>303</v>
      </c>
      <c r="C17" s="176">
        <v>0</v>
      </c>
    </row>
    <row r="18" ht="15" customHeight="1">
      <c r="B18" s="175" t="s">
        <v>304</v>
      </c>
      <c r="C18" s="176">
        <v>0</v>
      </c>
    </row>
    <row r="19" ht="15" customHeight="1">
      <c r="B19" s="175" t="s">
        <v>305</v>
      </c>
      <c r="C19" s="176">
        <v>0</v>
      </c>
    </row>
    <row r="20" ht="15" customHeight="1">
      <c r="B20" s="168"/>
      <c r="C20" s="176">
        <f>SUM(C11:C14)+SUM(C16:C19)</f>
        <v>14976444</v>
      </c>
    </row>
    <row r="21" ht="15" customHeight="1">
      <c r="B21" s="173" t="s">
        <v>306</v>
      </c>
      <c r="C21" s="177"/>
    </row>
    <row r="22" ht="15" customHeight="1">
      <c r="B22" s="175" t="s">
        <v>307</v>
      </c>
      <c r="C22" s="176">
        <v>0</v>
      </c>
    </row>
    <row r="23" ht="15" customHeight="1">
      <c r="B23" s="175" t="s">
        <v>308</v>
      </c>
      <c r="C23" s="176">
        <v>0</v>
      </c>
    </row>
    <row r="24" ht="15" customHeight="1">
      <c r="B24" s="175" t="s">
        <v>309</v>
      </c>
      <c r="C24" s="176">
        <v>0</v>
      </c>
    </row>
    <row r="25" ht="15" customHeight="1">
      <c r="B25" s="175" t="s">
        <v>310</v>
      </c>
      <c r="C25" s="176">
        <v>2346984</v>
      </c>
    </row>
    <row r="26" ht="15" customHeight="1">
      <c r="B26" s="175" t="s">
        <v>311</v>
      </c>
      <c r="C26" s="176">
        <v>0</v>
      </c>
    </row>
    <row r="27" ht="15" customHeight="1">
      <c r="B27" s="175" t="s">
        <v>312</v>
      </c>
      <c r="C27" s="176">
        <v>810560</v>
      </c>
    </row>
    <row r="28" ht="15" customHeight="1">
      <c r="B28" s="168"/>
      <c r="C28" s="176">
        <f>SUM(C22:C27)</f>
        <v>3157544</v>
      </c>
    </row>
    <row r="29" ht="15" customHeight="1">
      <c r="B29" s="178" t="s">
        <v>313</v>
      </c>
      <c r="C29" s="179">
        <f t="shared" si="0" ref="C29:C46">C20+C28</f>
        <v>18133988</v>
      </c>
    </row>
    <row r="30" ht="15" customHeight="1">
      <c r="B30" s="168"/>
      <c r="C30" s="177"/>
    </row>
    <row r="31" ht="15" customHeight="1">
      <c r="B31" s="172" t="s">
        <v>314</v>
      </c>
      <c r="C31" s="177"/>
    </row>
    <row r="32" ht="15" customHeight="1">
      <c r="B32" s="173" t="s">
        <v>315</v>
      </c>
      <c r="C32" s="177"/>
    </row>
    <row r="33" ht="15" customHeight="1">
      <c r="B33" s="175" t="s">
        <v>316</v>
      </c>
      <c r="C33" s="176">
        <v>0</v>
      </c>
    </row>
    <row r="34" ht="15" customHeight="1">
      <c r="B34" s="175" t="s">
        <v>317</v>
      </c>
      <c r="C34" s="176">
        <v>775</v>
      </c>
    </row>
    <row r="35" ht="15" customHeight="1">
      <c r="B35" s="175" t="s">
        <v>318</v>
      </c>
      <c r="C35" s="176">
        <v>0</v>
      </c>
    </row>
    <row r="36" ht="15" customHeight="1">
      <c r="B36" s="175" t="s">
        <v>319</v>
      </c>
      <c r="C36" s="176">
        <v>0</v>
      </c>
    </row>
    <row r="37" ht="15" customHeight="1">
      <c r="B37" s="168"/>
      <c r="C37" s="176">
        <v>0</v>
      </c>
    </row>
    <row r="38" ht="15" customHeight="1">
      <c r="B38" s="173" t="s">
        <v>320</v>
      </c>
      <c r="C38" s="177"/>
    </row>
    <row r="39" ht="15" customHeight="1">
      <c r="B39" s="175" t="s">
        <v>321</v>
      </c>
      <c r="C39" s="176">
        <v>16228190.9</v>
      </c>
    </row>
    <row r="40" ht="15" customHeight="1">
      <c r="B40" s="174" t="s">
        <v>322</v>
      </c>
      <c r="C40" s="177"/>
    </row>
    <row r="41" ht="15" customHeight="1">
      <c r="B41" s="180" t="s">
        <v>323</v>
      </c>
      <c r="C41" s="176">
        <v>0</v>
      </c>
    </row>
    <row r="42" ht="15" customHeight="1">
      <c r="B42" s="180" t="s">
        <v>324</v>
      </c>
      <c r="C42" s="176">
        <v>0</v>
      </c>
    </row>
    <row r="43" ht="15" customHeight="1">
      <c r="B43" s="175" t="s">
        <v>325</v>
      </c>
      <c r="C43" s="176">
        <v>0</v>
      </c>
    </row>
    <row r="44" ht="15" customHeight="1">
      <c r="B44" s="175" t="s">
        <v>326</v>
      </c>
      <c r="C44" s="176">
        <v>0</v>
      </c>
    </row>
    <row r="45" ht="15" customHeight="1">
      <c r="B45" s="168"/>
      <c r="C45" s="176">
        <v>16228965.9</v>
      </c>
    </row>
    <row r="46" ht="15" customHeight="1">
      <c r="B46" s="178" t="s">
        <v>327</v>
      </c>
      <c r="C46" s="179">
        <f t="shared" si="0"/>
        <v>16228965.9</v>
      </c>
    </row>
    <row r="47" ht="15" customHeight="1">
      <c r="B47" s="168"/>
      <c r="C47" s="177"/>
    </row>
    <row r="48" ht="15" customHeight="1">
      <c r="B48" s="178" t="s">
        <v>328</v>
      </c>
      <c r="C48" s="179">
        <f>C29-C46</f>
        <v>1905022.1</v>
      </c>
    </row>
    <row r="49" ht="15" customHeight="1">
      <c r="B49" s="168" t="s">
        <v>329</v>
      </c>
      <c r="C49" s="181">
        <v>60000</v>
      </c>
    </row>
    <row r="50" ht="15" customHeight="1">
      <c r="B50" s="182" t="s">
        <v>330</v>
      </c>
      <c r="C50" s="183">
        <v>31</v>
      </c>
    </row>
    <row r="51" ht="15" customHeight="1">
      <c r="B51" s="168"/>
      <c r="C51" s="168"/>
    </row>
    <row r="52" ht="18" customHeight="1">
      <c r="B52" s="184" t="s">
        <v>331</v>
      </c>
      <c r="C52" s="185" t="s">
        <v>332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legacyDrawing r:id="rId2"/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42F9816-C198-F9F2-F288-321D12ECA748}" mc:Ignorable="x14ac xr xr2 xr3">
  <dimension ref="A1:CV10000"/>
  <sheetViews>
    <sheetView topLeftCell="A78" workbookViewId="0">
      <selection activeCell="C83" sqref="C83"/>
    </sheetView>
  </sheetViews>
  <sheetFormatPr defaultRowHeight="15" defaultColWidth="8.8515625" customHeight="1"/>
  <cols>
    <col min="2" max="2" width="35.00390625" customWidth="1"/>
    <col min="3" max="3" width="20.7109375" customWidth="1"/>
    <col min="4" max="5" width="24.28125" customWidth="1"/>
    <col min="6" max="6" width="26.421875" customWidth="1"/>
    <col min="7" max="7" width="22.140625" customWidth="1"/>
    <col min="8" max="8" width="20.7109375" customWidth="1"/>
    <col min="9" max="10" width="14.28125" customWidth="1"/>
  </cols>
  <sheetData>
    <row r="2" ht="22.5" customHeight="1">
      <c r="B2" s="186" t="s">
        <v>333</v>
      </c>
      <c r="C2" s="186"/>
      <c r="D2" s="186"/>
      <c r="E2" s="186"/>
      <c r="F2" s="186"/>
      <c r="G2" s="186"/>
      <c r="H2" s="186"/>
      <c r="I2" s="186"/>
      <c r="J2" s="186"/>
    </row>
    <row r="3" ht="18" customHeight="1">
      <c r="B3" s="187" t="s">
        <v>334</v>
      </c>
      <c r="C3" s="188"/>
      <c r="D3" s="188"/>
      <c r="E3" s="188"/>
      <c r="F3" s="188"/>
      <c r="G3" s="188"/>
      <c r="H3" s="188"/>
      <c r="I3" s="188"/>
      <c r="J3" s="188"/>
    </row>
    <row r="4" ht="15" customHeight="1">
      <c r="B4" s="189"/>
      <c r="C4" s="189"/>
      <c r="D4" s="189"/>
      <c r="E4" s="189"/>
      <c r="F4" s="189"/>
      <c r="G4" s="189"/>
      <c r="H4" s="189"/>
      <c r="I4" s="189"/>
      <c r="J4" s="189"/>
    </row>
    <row r="5" ht="15" customHeight="1">
      <c r="B5" s="190" t="s">
        <v>335</v>
      </c>
      <c r="C5" s="190"/>
      <c r="D5" s="190"/>
      <c r="E5" s="190"/>
      <c r="F5" s="190"/>
      <c r="G5" s="190"/>
      <c r="H5" s="190"/>
      <c r="I5" s="190"/>
      <c r="J5" s="190"/>
    </row>
    <row r="6" ht="15" customHeight="1">
      <c r="B6" s="189"/>
      <c r="C6" s="189"/>
      <c r="D6" s="189"/>
      <c r="E6" s="189"/>
      <c r="F6" s="189"/>
      <c r="G6" s="189"/>
      <c r="H6" s="189"/>
      <c r="I6" s="189"/>
      <c r="J6" s="189"/>
    </row>
    <row r="7" ht="15" customHeight="1">
      <c r="B7" s="191" t="s">
        <v>336</v>
      </c>
      <c r="C7" s="191" t="s">
        <v>337</v>
      </c>
      <c r="D7" s="191" t="s">
        <v>338</v>
      </c>
      <c r="E7" s="191" t="s">
        <v>339</v>
      </c>
      <c r="F7" s="189"/>
      <c r="G7" s="189"/>
      <c r="H7" s="189"/>
      <c r="I7" s="189"/>
      <c r="J7" s="189"/>
    </row>
    <row r="8" ht="15" customHeight="1">
      <c r="B8" s="192" t="s">
        <v>33</v>
      </c>
      <c r="C8" s="193">
        <v>1000000</v>
      </c>
      <c r="D8" s="192" t="s">
        <v>340</v>
      </c>
      <c r="E8" s="192" t="s">
        <v>341</v>
      </c>
      <c r="F8" s="189"/>
      <c r="G8" s="189"/>
      <c r="H8" s="189"/>
      <c r="I8" s="189"/>
      <c r="J8" s="189"/>
    </row>
    <row r="9" ht="15" customHeight="1">
      <c r="B9" s="192" t="s">
        <v>342</v>
      </c>
      <c r="C9" s="194">
        <v>0.1</v>
      </c>
      <c r="D9" s="192" t="s">
        <v>343</v>
      </c>
      <c r="E9" s="192" t="s">
        <v>344</v>
      </c>
      <c r="F9" s="189"/>
      <c r="G9" s="189"/>
      <c r="H9" s="189"/>
      <c r="I9" s="189"/>
      <c r="J9" s="189"/>
    </row>
    <row r="10" ht="15" customHeight="1">
      <c r="B10" s="195" t="s">
        <v>345</v>
      </c>
      <c r="C10" s="196">
        <f>C8*(C9/1%)</f>
        <v>10000000</v>
      </c>
      <c r="D10" s="192" t="s">
        <v>346</v>
      </c>
      <c r="E10" s="192" t="s">
        <v>347</v>
      </c>
      <c r="F10" s="189"/>
      <c r="G10" s="189"/>
      <c r="H10" s="189"/>
      <c r="I10" s="189"/>
      <c r="J10" s="189"/>
    </row>
    <row r="11" ht="15" customHeight="1">
      <c r="B11" s="195" t="s">
        <v>36</v>
      </c>
      <c r="C11" s="196">
        <f>C8/1%</f>
        <v>100000000</v>
      </c>
      <c r="D11" s="192" t="s">
        <v>346</v>
      </c>
      <c r="E11" s="192" t="s">
        <v>348</v>
      </c>
      <c r="F11" s="189"/>
      <c r="G11" s="189"/>
      <c r="H11" s="189"/>
      <c r="I11" s="189"/>
      <c r="J11" s="189"/>
    </row>
    <row r="12" ht="15" customHeight="1">
      <c r="B12" s="195" t="s">
        <v>35</v>
      </c>
      <c r="C12" s="196">
        <f>C11-C10</f>
        <v>90000000</v>
      </c>
      <c r="D12" s="192" t="s">
        <v>346</v>
      </c>
      <c r="E12" s="192" t="s">
        <v>349</v>
      </c>
      <c r="F12" s="189"/>
      <c r="G12" s="189"/>
      <c r="H12" s="189"/>
      <c r="I12" s="189"/>
      <c r="J12" s="189"/>
    </row>
    <row r="13" ht="15" customHeight="1">
      <c r="B13" s="192" t="s">
        <v>350</v>
      </c>
      <c r="C13" s="197">
        <f>'Share-Valuation'!C50</f>
        <v>31</v>
      </c>
      <c r="D13" s="192" t="s">
        <v>351</v>
      </c>
      <c r="E13" s="192" t="s">
        <v>352</v>
      </c>
      <c r="F13" s="189"/>
      <c r="G13" s="189"/>
      <c r="H13" s="189"/>
      <c r="I13" s="189"/>
      <c r="J13" s="189"/>
    </row>
    <row r="14" ht="15" customHeight="1">
      <c r="B14" s="192" t="s">
        <v>353</v>
      </c>
      <c r="C14" s="198">
        <f>'Financial-Summary'!C6</f>
        <v>200</v>
      </c>
      <c r="D14" s="192" t="s">
        <v>354</v>
      </c>
      <c r="E14" s="192" t="s">
        <v>355</v>
      </c>
      <c r="F14" s="189"/>
      <c r="G14" s="189"/>
      <c r="H14" s="189"/>
      <c r="I14" s="189"/>
      <c r="J14" s="189"/>
    </row>
    <row r="15" ht="15" customHeight="1">
      <c r="B15" s="192" t="s">
        <v>356</v>
      </c>
      <c r="C15" s="199">
        <f>'Financial-Summary'!E6</f>
        <v>7500000</v>
      </c>
      <c r="D15" s="192" t="s">
        <v>357</v>
      </c>
      <c r="E15" s="192" t="s">
        <v>358</v>
      </c>
      <c r="F15" s="189"/>
      <c r="G15" s="189"/>
      <c r="H15" s="189"/>
      <c r="I15" s="189"/>
      <c r="J15" s="189"/>
    </row>
    <row r="16" ht="15" customHeight="1">
      <c r="B16" s="192" t="s">
        <v>359</v>
      </c>
      <c r="C16" s="199">
        <f>'Fund-Infusion'!C13</f>
        <v>9600000</v>
      </c>
      <c r="D16" s="192" t="s">
        <v>346</v>
      </c>
      <c r="E16" s="192" t="s">
        <v>360</v>
      </c>
      <c r="F16" s="189"/>
      <c r="G16" s="189"/>
      <c r="H16" s="189"/>
      <c r="I16" s="189"/>
      <c r="J16" s="189"/>
    </row>
    <row r="17" ht="15" customHeight="1">
      <c r="B17" s="192" t="s">
        <v>361</v>
      </c>
      <c r="C17" s="199">
        <f>'Fund-Infusion'!D13</f>
        <v>94000</v>
      </c>
      <c r="D17" s="192" t="s">
        <v>362</v>
      </c>
      <c r="E17" s="192" t="s">
        <v>363</v>
      </c>
      <c r="F17" s="189"/>
      <c r="G17" s="189"/>
      <c r="H17" s="189"/>
      <c r="I17" s="189"/>
      <c r="J17" s="189"/>
    </row>
    <row r="18" ht="15" customHeight="1">
      <c r="B18" s="189"/>
      <c r="C18" s="189"/>
      <c r="D18" s="189"/>
      <c r="E18" s="189"/>
      <c r="F18" s="189"/>
      <c r="G18" s="189"/>
      <c r="H18" s="189"/>
      <c r="I18" s="189"/>
      <c r="J18" s="189"/>
    </row>
    <row r="19" ht="15" customHeight="1">
      <c r="B19" s="189"/>
      <c r="C19" s="189"/>
      <c r="D19" s="189"/>
      <c r="E19" s="189"/>
      <c r="F19" s="189"/>
      <c r="G19" s="189"/>
      <c r="H19" s="189"/>
      <c r="I19" s="189"/>
      <c r="J19" s="189"/>
    </row>
    <row r="20" ht="15" customHeight="1">
      <c r="B20" s="190" t="s">
        <v>364</v>
      </c>
      <c r="C20" s="190"/>
      <c r="D20" s="190"/>
      <c r="E20" s="190"/>
      <c r="F20" s="190"/>
      <c r="G20" s="190"/>
      <c r="H20" s="190"/>
      <c r="I20" s="190"/>
      <c r="J20" s="190"/>
    </row>
    <row r="21" ht="15" customHeight="1">
      <c r="B21" s="189"/>
      <c r="C21" s="189"/>
      <c r="D21" s="189"/>
      <c r="E21" s="189"/>
      <c r="F21" s="189"/>
      <c r="G21" s="189"/>
      <c r="H21" s="189"/>
      <c r="I21" s="189"/>
      <c r="J21" s="189"/>
    </row>
    <row r="22" ht="15" customHeight="1">
      <c r="B22" s="191" t="s">
        <v>365</v>
      </c>
      <c r="C22" s="191" t="s">
        <v>366</v>
      </c>
      <c r="D22" s="191" t="s">
        <v>367</v>
      </c>
      <c r="E22" s="191" t="s">
        <v>368</v>
      </c>
      <c r="F22" s="189"/>
      <c r="G22" s="189"/>
      <c r="H22" s="189"/>
      <c r="I22" s="189"/>
      <c r="J22" s="189"/>
    </row>
    <row r="23" ht="15" customHeight="1">
      <c r="B23" s="200">
        <v>0.01</v>
      </c>
      <c r="C23" s="201">
        <f t="shared" si="0" ref="C23:C26">$C$8*(B23/1%)</f>
        <v>1000000</v>
      </c>
      <c r="D23" s="201">
        <f t="shared" si="1" ref="D23:D26">C23/B23</f>
        <v>100000000</v>
      </c>
      <c r="E23" s="192" t="s">
        <v>369</v>
      </c>
      <c r="F23" s="189"/>
      <c r="G23" s="189"/>
      <c r="H23" s="189"/>
      <c r="I23" s="189"/>
      <c r="J23" s="189"/>
    </row>
    <row r="24" ht="15" customHeight="1">
      <c r="B24" s="200">
        <v>0.05</v>
      </c>
      <c r="C24" s="201">
        <f t="shared" si="0"/>
        <v>5000000</v>
      </c>
      <c r="D24" s="201">
        <f t="shared" si="1"/>
        <v>100000000</v>
      </c>
      <c r="E24" s="192" t="s">
        <v>370</v>
      </c>
      <c r="F24" s="189"/>
      <c r="G24" s="189"/>
      <c r="H24" s="189"/>
      <c r="I24" s="189"/>
      <c r="J24" s="189"/>
    </row>
    <row r="25" ht="15" customHeight="1">
      <c r="B25" s="202">
        <v>0.1</v>
      </c>
      <c r="C25" s="203">
        <f t="shared" si="0"/>
        <v>10000000</v>
      </c>
      <c r="D25" s="203">
        <f t="shared" si="1"/>
        <v>100000000</v>
      </c>
      <c r="E25" s="204" t="s">
        <v>371</v>
      </c>
      <c r="F25" s="189"/>
      <c r="G25" s="189"/>
      <c r="H25" s="189"/>
      <c r="I25" s="189"/>
      <c r="J25" s="189"/>
    </row>
    <row r="26" ht="15" customHeight="1">
      <c r="B26" s="200">
        <v>0.15</v>
      </c>
      <c r="C26" s="201">
        <f t="shared" si="0"/>
        <v>15000000</v>
      </c>
      <c r="D26" s="201">
        <f t="shared" si="1"/>
        <v>100000000</v>
      </c>
      <c r="E26" s="192" t="s">
        <v>372</v>
      </c>
      <c r="F26" s="189"/>
      <c r="G26" s="189"/>
      <c r="H26" s="189"/>
      <c r="I26" s="189"/>
      <c r="J26" s="189"/>
    </row>
    <row r="27" ht="15" customHeight="1">
      <c r="B27" s="189"/>
      <c r="C27" s="189"/>
      <c r="D27" s="189"/>
      <c r="E27" s="189"/>
      <c r="F27" s="189"/>
      <c r="G27" s="189"/>
      <c r="H27" s="189"/>
      <c r="I27" s="189"/>
      <c r="J27" s="189"/>
    </row>
    <row r="28" ht="15" customHeight="1">
      <c r="B28" s="189"/>
      <c r="C28" s="189"/>
      <c r="D28" s="189"/>
      <c r="E28" s="189"/>
      <c r="F28" s="189"/>
      <c r="G28" s="189"/>
      <c r="H28" s="189"/>
      <c r="I28" s="189"/>
      <c r="J28" s="189"/>
    </row>
    <row r="29" ht="15" customHeight="1">
      <c r="B29" s="190" t="s">
        <v>373</v>
      </c>
      <c r="C29" s="190"/>
      <c r="D29" s="190"/>
      <c r="E29" s="190"/>
      <c r="F29" s="190"/>
      <c r="G29" s="190"/>
      <c r="H29" s="190"/>
      <c r="I29" s="190"/>
      <c r="J29" s="190"/>
    </row>
    <row r="30" ht="15" customHeight="1">
      <c r="B30" s="189"/>
      <c r="C30" s="189"/>
      <c r="D30" s="189"/>
      <c r="E30" s="189"/>
      <c r="F30" s="189"/>
      <c r="G30" s="189"/>
      <c r="H30" s="189"/>
      <c r="I30" s="189"/>
      <c r="J30" s="189"/>
    </row>
    <row r="31" ht="15" customHeight="1">
      <c r="B31" s="191" t="s">
        <v>374</v>
      </c>
      <c r="C31" s="191" t="s">
        <v>375</v>
      </c>
      <c r="D31" s="191" t="s">
        <v>174</v>
      </c>
      <c r="E31" s="191" t="s">
        <v>173</v>
      </c>
      <c r="F31" s="191" t="s">
        <v>376</v>
      </c>
      <c r="G31" s="191" t="s">
        <v>377</v>
      </c>
      <c r="H31" s="189"/>
      <c r="I31" s="189"/>
      <c r="J31" s="189"/>
    </row>
    <row r="32" ht="27" customHeight="1">
      <c r="B32" s="192" t="s">
        <v>378</v>
      </c>
      <c r="C32" s="200">
        <v>0.45</v>
      </c>
      <c r="D32" s="201">
        <f t="shared" si="2" ref="D32:D35">$C$10*C32</f>
        <v>4500000</v>
      </c>
      <c r="E32" s="205" t="s">
        <v>379</v>
      </c>
      <c r="F32" s="205" t="s">
        <v>380</v>
      </c>
      <c r="G32" s="189"/>
      <c r="H32" s="189"/>
      <c r="I32" s="189"/>
      <c r="J32" s="189"/>
    </row>
    <row r="33" ht="27" customHeight="1">
      <c r="B33" s="192" t="s">
        <v>381</v>
      </c>
      <c r="C33" s="200">
        <v>0.25</v>
      </c>
      <c r="D33" s="201">
        <f t="shared" si="2"/>
        <v>2500000</v>
      </c>
      <c r="E33" s="205" t="s">
        <v>382</v>
      </c>
      <c r="F33" s="205" t="s">
        <v>383</v>
      </c>
      <c r="G33" s="189"/>
      <c r="H33" s="189"/>
      <c r="I33" s="189"/>
      <c r="J33" s="189"/>
    </row>
    <row r="34" ht="27" customHeight="1">
      <c r="B34" s="192" t="s">
        <v>384</v>
      </c>
      <c r="C34" s="200">
        <v>0.15</v>
      </c>
      <c r="D34" s="201">
        <f t="shared" si="2"/>
        <v>1500000</v>
      </c>
      <c r="E34" s="205" t="s">
        <v>385</v>
      </c>
      <c r="F34" s="205" t="s">
        <v>386</v>
      </c>
      <c r="G34" s="189"/>
      <c r="H34" s="189"/>
      <c r="I34" s="189"/>
      <c r="J34" s="189"/>
    </row>
    <row r="35" ht="27" customHeight="1">
      <c r="B35" s="192" t="s">
        <v>387</v>
      </c>
      <c r="C35" s="200">
        <v>0.15</v>
      </c>
      <c r="D35" s="201">
        <f t="shared" si="2"/>
        <v>1500000</v>
      </c>
      <c r="E35" s="205" t="s">
        <v>388</v>
      </c>
      <c r="F35" s="205" t="s">
        <v>389</v>
      </c>
      <c r="G35" s="189"/>
      <c r="H35" s="189"/>
      <c r="I35" s="189"/>
      <c r="J35" s="189"/>
    </row>
    <row r="36" ht="15" customHeight="1">
      <c r="B36" s="206" t="s">
        <v>390</v>
      </c>
      <c r="C36" s="207">
        <f t="shared" si="3" ref="C36:D36">SUM(C32:C35)</f>
        <v>1</v>
      </c>
      <c r="D36" s="208">
        <f t="shared" si="3"/>
        <v>10000000</v>
      </c>
      <c r="E36" s="206" t="s">
        <v>391</v>
      </c>
      <c r="F36" s="206" t="s">
        <v>392</v>
      </c>
      <c r="G36" s="209" t="str">
        <f>IF(D36=$C$10,"OK","CHECK")</f>
        <v>OK</v>
      </c>
      <c r="H36" s="189"/>
      <c r="I36" s="189"/>
      <c r="J36" s="189"/>
    </row>
    <row r="37" ht="15" customHeight="1">
      <c r="B37" s="189"/>
      <c r="C37" s="189"/>
      <c r="D37" s="210"/>
      <c r="E37" s="189"/>
      <c r="F37" s="189"/>
      <c r="G37" s="189"/>
      <c r="H37" s="189"/>
      <c r="I37" s="189"/>
      <c r="J37" s="189"/>
    </row>
    <row r="38" ht="15" customHeight="1">
      <c r="B38" s="189" t="s">
        <v>394</v>
      </c>
      <c r="C38" s="189"/>
      <c r="D38" s="210">
        <f>D32/$C$16*$C$17</f>
        <v>44062.5</v>
      </c>
      <c r="E38" s="189" t="s">
        <v>395</v>
      </c>
      <c r="F38" s="189" t="s">
        <v>396</v>
      </c>
      <c r="G38" s="189"/>
      <c r="H38" s="189"/>
      <c r="I38" s="189"/>
      <c r="J38" s="189"/>
    </row>
    <row r="39" ht="15" customHeight="1">
      <c r="B39" s="189" t="s">
        <v>397</v>
      </c>
      <c r="C39" s="189"/>
      <c r="D39" s="210">
        <f>D38*12</f>
        <v>528750</v>
      </c>
      <c r="E39" s="189" t="s">
        <v>398</v>
      </c>
      <c r="F39" s="189" t="s">
        <v>399</v>
      </c>
      <c r="G39" s="189"/>
      <c r="H39" s="189"/>
      <c r="I39" s="189"/>
      <c r="J39" s="189"/>
    </row>
    <row r="40" ht="15" customHeight="1">
      <c r="B40" s="189"/>
      <c r="C40" s="189"/>
      <c r="D40" s="189"/>
      <c r="E40" s="189"/>
      <c r="F40" s="189"/>
      <c r="G40" s="189"/>
      <c r="H40" s="189"/>
      <c r="I40" s="189"/>
      <c r="J40" s="189"/>
    </row>
    <row r="41" ht="15" customHeight="1">
      <c r="B41" s="189"/>
      <c r="C41" s="189"/>
      <c r="D41" s="189"/>
      <c r="E41" s="189"/>
      <c r="F41" s="189"/>
      <c r="G41" s="189"/>
      <c r="H41" s="189"/>
      <c r="I41" s="189"/>
      <c r="J41" s="189"/>
    </row>
    <row r="42" ht="15" customHeight="1">
      <c r="B42" s="190" t="s">
        <v>400</v>
      </c>
      <c r="C42" s="190"/>
      <c r="D42" s="190"/>
      <c r="E42" s="190"/>
      <c r="F42" s="190"/>
      <c r="G42" s="190"/>
      <c r="H42" s="190"/>
      <c r="I42" s="190"/>
      <c r="J42" s="190"/>
    </row>
    <row r="43" ht="15" customHeight="1">
      <c r="B43" s="189"/>
      <c r="C43" s="189"/>
      <c r="D43" s="189"/>
      <c r="E43" s="189"/>
      <c r="F43" s="189"/>
      <c r="G43" s="189"/>
      <c r="H43" s="189"/>
      <c r="I43" s="189"/>
      <c r="J43" s="189"/>
    </row>
    <row r="44" ht="15" customHeight="1">
      <c r="B44" s="191" t="s">
        <v>12</v>
      </c>
      <c r="C44" s="191" t="s">
        <v>13</v>
      </c>
      <c r="D44" s="191" t="s">
        <v>401</v>
      </c>
      <c r="E44" s="191" t="s">
        <v>402</v>
      </c>
      <c r="F44" s="191" t="s">
        <v>403</v>
      </c>
      <c r="G44" s="189"/>
      <c r="H44" s="189"/>
      <c r="I44" s="189"/>
      <c r="J44" s="189"/>
    </row>
    <row r="45" ht="15" customHeight="1">
      <c r="B45" s="189" t="str">
        <f>'Moderate-Growth'!C8</f>
        <v>2026-27</v>
      </c>
      <c r="C45" s="211">
        <f>'Moderate-Growth'!C10</f>
        <v>200</v>
      </c>
      <c r="D45" s="212">
        <f>'Moderate-Growth'!C28</f>
        <v>7500000</v>
      </c>
      <c r="E45" s="212">
        <f>'Moderate-Growth'!C36</f>
        <v>752000</v>
      </c>
      <c r="F45" s="213">
        <f>'Moderate-Growth'!C37</f>
        <v>0.100266666666667</v>
      </c>
      <c r="G45" s="189"/>
      <c r="H45" s="189"/>
      <c r="I45" s="189"/>
      <c r="J45" s="189"/>
    </row>
    <row r="46" ht="15" customHeight="1">
      <c r="B46" s="189" t="str">
        <f>'Moderate-Growth'!D8</f>
        <v>2027-28</v>
      </c>
      <c r="C46" s="211">
        <f>'Moderate-Growth'!D10</f>
        <v>275</v>
      </c>
      <c r="D46" s="212">
        <f>'Moderate-Growth'!D28</f>
        <v>10065948.2758621</v>
      </c>
      <c r="E46" s="212">
        <f>'Moderate-Growth'!D36</f>
        <v>1101748.2758621</v>
      </c>
      <c r="F46" s="213">
        <f>'Moderate-Growth'!D37</f>
        <v>0.109453003896718</v>
      </c>
      <c r="G46" s="189"/>
      <c r="H46" s="189"/>
      <c r="I46" s="189"/>
      <c r="J46" s="189"/>
    </row>
    <row r="47" ht="15" customHeight="1">
      <c r="B47" s="189" t="str">
        <f>'Moderate-Growth'!E8</f>
        <v>2028-29</v>
      </c>
      <c r="C47" s="211">
        <f>'Moderate-Growth'!E10</f>
        <v>375</v>
      </c>
      <c r="D47" s="212">
        <f>'Moderate-Growth'!E28</f>
        <v>15203571.4285714</v>
      </c>
      <c r="E47" s="212">
        <f>'Moderate-Growth'!E36</f>
        <v>3543240.7834101</v>
      </c>
      <c r="F47" s="213">
        <f>'Moderate-Growth'!E37</f>
        <v>0.233053187539307</v>
      </c>
      <c r="G47" s="189"/>
      <c r="H47" s="189"/>
      <c r="I47" s="189"/>
      <c r="J47" s="189"/>
    </row>
    <row r="48" ht="15" customHeight="1">
      <c r="B48" s="189" t="str">
        <f>'Moderate-Growth'!F8</f>
        <v>2029-30</v>
      </c>
      <c r="C48" s="211">
        <f>'Moderate-Growth'!F10</f>
        <v>485</v>
      </c>
      <c r="D48" s="212">
        <f>'Moderate-Growth'!F28</f>
        <v>19908658.5365853</v>
      </c>
      <c r="E48" s="212">
        <f>'Moderate-Growth'!F36</f>
        <v>5461064.9555042</v>
      </c>
      <c r="F48" s="213">
        <f>'Moderate-Growth'!F37</f>
        <v>0.274306023455505</v>
      </c>
      <c r="G48" s="189"/>
      <c r="H48" s="189"/>
      <c r="I48" s="189"/>
      <c r="J48" s="189"/>
    </row>
    <row r="49" ht="15" customHeight="1">
      <c r="B49" s="189" t="str">
        <f>'Moderate-Growth'!G8</f>
        <v>2030-31</v>
      </c>
      <c r="C49" s="211">
        <f>'Moderate-Growth'!G10</f>
        <v>605</v>
      </c>
      <c r="D49" s="212">
        <f>'Moderate-Growth'!G28</f>
        <v>26499000</v>
      </c>
      <c r="E49" s="212">
        <f>'Moderate-Growth'!G36</f>
        <v>6070154.9728261</v>
      </c>
      <c r="F49" s="213">
        <f>'Moderate-Growth'!G37</f>
        <v>0.22907109599706</v>
      </c>
      <c r="G49" s="189"/>
      <c r="H49" s="189"/>
      <c r="I49" s="189"/>
      <c r="J49" s="189"/>
    </row>
    <row r="50" ht="15" customHeight="1">
      <c r="B50" s="189" t="str">
        <f>'Moderate-Growth'!H8</f>
        <v>2031-32</v>
      </c>
      <c r="C50" s="211">
        <f>'Moderate-Growth'!H10</f>
        <v>705</v>
      </c>
      <c r="D50" s="212">
        <f>'Moderate-Growth'!H28</f>
        <v>32782500.0000001</v>
      </c>
      <c r="E50" s="212">
        <f>'Moderate-Growth'!H36</f>
        <v>7297936.21875</v>
      </c>
      <c r="F50" s="213">
        <f>'Moderate-Growth'!H37</f>
        <v>0.222616829672843</v>
      </c>
      <c r="G50" s="189"/>
      <c r="H50" s="189"/>
      <c r="I50" s="189"/>
      <c r="J50" s="189"/>
    </row>
    <row r="51" ht="15" customHeight="1">
      <c r="B51" s="189" t="s">
        <v>404</v>
      </c>
      <c r="C51" s="189"/>
      <c r="D51" s="214">
        <f t="shared" si="4" ref="D51:D64">(D50/D45)^(1/5)-1</f>
        <v>0.343124160226934</v>
      </c>
      <c r="E51" s="189"/>
      <c r="F51" s="189"/>
      <c r="G51" s="189"/>
      <c r="H51" s="189"/>
      <c r="I51" s="189"/>
      <c r="J51" s="189"/>
    </row>
    <row r="52" ht="15" customHeight="1">
      <c r="B52" s="189" t="s">
        <v>405</v>
      </c>
      <c r="C52" s="189"/>
      <c r="D52" s="189"/>
      <c r="E52" s="215">
        <f t="shared" si="5" ref="E52:E65">SUM(E45:E50)</f>
        <v>24226145.2063525</v>
      </c>
      <c r="F52" s="189"/>
      <c r="G52" s="189"/>
      <c r="H52" s="189"/>
      <c r="I52" s="189"/>
      <c r="J52" s="189"/>
    </row>
    <row r="53" ht="15" customHeight="1">
      <c r="B53" s="189"/>
      <c r="C53" s="189"/>
      <c r="D53" s="189"/>
      <c r="E53" s="189"/>
      <c r="F53" s="189"/>
      <c r="G53" s="189"/>
      <c r="H53" s="189"/>
      <c r="I53" s="189"/>
      <c r="J53" s="189"/>
    </row>
    <row r="54" ht="15" customHeight="1">
      <c r="B54" s="189"/>
      <c r="C54" s="189"/>
      <c r="D54" s="189"/>
      <c r="E54" s="189"/>
      <c r="F54" s="189"/>
      <c r="G54" s="189"/>
      <c r="H54" s="189"/>
      <c r="I54" s="189"/>
      <c r="J54" s="189"/>
    </row>
    <row r="55" ht="15" customHeight="1">
      <c r="B55" s="190" t="s">
        <v>406</v>
      </c>
      <c r="C55" s="190"/>
      <c r="D55" s="190"/>
      <c r="E55" s="190"/>
      <c r="F55" s="190"/>
      <c r="G55" s="190"/>
      <c r="H55" s="190"/>
      <c r="I55" s="190"/>
      <c r="J55" s="190"/>
    </row>
    <row r="56" ht="15" customHeight="1">
      <c r="B56" s="189"/>
      <c r="C56" s="189"/>
      <c r="D56" s="189"/>
      <c r="E56" s="189"/>
      <c r="F56" s="189"/>
      <c r="G56" s="189"/>
      <c r="H56" s="189"/>
      <c r="I56" s="189"/>
      <c r="J56" s="189"/>
    </row>
    <row r="57" ht="15" customHeight="1">
      <c r="B57" s="191" t="s">
        <v>12</v>
      </c>
      <c r="C57" s="191" t="s">
        <v>13</v>
      </c>
      <c r="D57" s="191" t="s">
        <v>401</v>
      </c>
      <c r="E57" s="191" t="s">
        <v>402</v>
      </c>
      <c r="F57" s="191" t="s">
        <v>403</v>
      </c>
      <c r="G57" s="189"/>
      <c r="H57" s="189"/>
      <c r="I57" s="189"/>
      <c r="J57" s="189"/>
    </row>
    <row r="58" ht="15" customHeight="1">
      <c r="B58" s="189" t="str">
        <f>'Bullish-Growth'!C8</f>
        <v>2026-27</v>
      </c>
      <c r="C58" s="211">
        <f>'Bullish-Growth'!C10</f>
        <v>200</v>
      </c>
      <c r="D58" s="212">
        <f>'Bullish-Growth'!C28</f>
        <v>7500000</v>
      </c>
      <c r="E58" s="212">
        <f>'Bullish-Growth'!C36</f>
        <v>752000</v>
      </c>
      <c r="F58" s="213">
        <f>'Bullish-Growth'!C37</f>
        <v>0.100266666666667</v>
      </c>
      <c r="G58" s="189"/>
      <c r="H58" s="189"/>
      <c r="I58" s="189"/>
      <c r="J58" s="189"/>
    </row>
    <row r="59" ht="15" customHeight="1">
      <c r="B59" s="189" t="str">
        <f>'Bullish-Growth'!D8</f>
        <v>2027-28</v>
      </c>
      <c r="C59" s="211">
        <f>'Bullish-Growth'!D10</f>
        <v>300</v>
      </c>
      <c r="D59" s="212">
        <f>'Bullish-Growth'!D28</f>
        <v>10981034.4827586</v>
      </c>
      <c r="E59" s="212">
        <f>'Bullish-Growth'!D36</f>
        <v>1649634.4827586</v>
      </c>
      <c r="F59" s="213">
        <f>'Bullish-Growth'!D37</f>
        <v>0.150225781127334</v>
      </c>
      <c r="G59" s="189"/>
      <c r="H59" s="189"/>
      <c r="I59" s="189"/>
      <c r="J59" s="189"/>
    </row>
    <row r="60" ht="15" customHeight="1">
      <c r="B60" s="189" t="str">
        <f>'Bullish-Growth'!E8</f>
        <v>2028-29</v>
      </c>
      <c r="C60" s="211">
        <f>'Bullish-Growth'!E10</f>
        <v>440</v>
      </c>
      <c r="D60" s="212">
        <f>'Bullish-Growth'!E28</f>
        <v>17838857.1428572</v>
      </c>
      <c r="E60" s="212">
        <f>'Bullish-Growth'!E36</f>
        <v>5151945.8525346</v>
      </c>
      <c r="F60" s="213">
        <f>'Bullish-Growth'!E37</f>
        <v>0.288804703758585</v>
      </c>
      <c r="G60" s="189"/>
      <c r="H60" s="189"/>
      <c r="I60" s="189"/>
      <c r="J60" s="189"/>
    </row>
    <row r="61" ht="15" customHeight="1">
      <c r="B61" s="189" t="str">
        <f>'Bullish-Growth'!F8</f>
        <v>2029-30</v>
      </c>
      <c r="C61" s="211">
        <f>'Bullish-Growth'!F10</f>
        <v>590</v>
      </c>
      <c r="D61" s="212">
        <f>'Bullish-Growth'!F28</f>
        <v>24218780.4878048</v>
      </c>
      <c r="E61" s="212">
        <f>'Bullish-Growth'!F36</f>
        <v>7894808.5283454</v>
      </c>
      <c r="F61" s="213">
        <f>'Bullish-Growth'!F37</f>
        <v>0.325978780489</v>
      </c>
      <c r="G61" s="189"/>
      <c r="H61" s="189"/>
      <c r="I61" s="189"/>
      <c r="J61" s="189"/>
    </row>
    <row r="62" ht="15" customHeight="1">
      <c r="B62" s="189" t="str">
        <f>'Bullish-Growth'!G8</f>
        <v>2030-31</v>
      </c>
      <c r="C62" s="211">
        <f>'Bullish-Growth'!G10</f>
        <v>750</v>
      </c>
      <c r="D62" s="212">
        <f>'Bullish-Growth'!G28</f>
        <v>32850000.0000001</v>
      </c>
      <c r="E62" s="212">
        <f>'Bullish-Growth'!G36</f>
        <v>9440459.3206522</v>
      </c>
      <c r="F62" s="213">
        <f>'Bullish-Growth'!G37</f>
        <v>0.287380801237509</v>
      </c>
      <c r="G62" s="189"/>
      <c r="H62" s="189"/>
      <c r="I62" s="189"/>
      <c r="J62" s="189"/>
    </row>
    <row r="63" ht="15" customHeight="1">
      <c r="B63" s="189" t="str">
        <f>'Bullish-Growth'!H8</f>
        <v>2031-32</v>
      </c>
      <c r="C63" s="211">
        <f>'Bullish-Growth'!H10</f>
        <v>920</v>
      </c>
      <c r="D63" s="212">
        <f>'Bullish-Growth'!H28</f>
        <v>42779999.9999999</v>
      </c>
      <c r="E63" s="212">
        <f>'Bullish-Growth'!H36</f>
        <v>12436436.2187499</v>
      </c>
      <c r="F63" s="213">
        <f>'Bullish-Growth'!H37</f>
        <v>0.290706783981999</v>
      </c>
      <c r="G63" s="189"/>
      <c r="H63" s="189"/>
      <c r="I63" s="189"/>
      <c r="J63" s="189"/>
    </row>
    <row r="64" ht="15" customHeight="1">
      <c r="B64" s="189" t="s">
        <v>404</v>
      </c>
      <c r="C64" s="189"/>
      <c r="D64" s="214">
        <f t="shared" si="4"/>
        <v>0.416563030459362</v>
      </c>
      <c r="E64" s="189"/>
      <c r="F64" s="189"/>
      <c r="G64" s="189"/>
      <c r="H64" s="189"/>
      <c r="I64" s="189"/>
      <c r="J64" s="189"/>
    </row>
    <row r="65" ht="15" customHeight="1">
      <c r="B65" s="189" t="s">
        <v>405</v>
      </c>
      <c r="C65" s="189"/>
      <c r="D65" s="189"/>
      <c r="E65" s="215">
        <f t="shared" si="5"/>
        <v>37325284.4030407</v>
      </c>
      <c r="F65" s="189"/>
      <c r="G65" s="189"/>
      <c r="H65" s="189"/>
      <c r="I65" s="189"/>
      <c r="J65" s="189"/>
    </row>
    <row r="66" ht="15" customHeight="1">
      <c r="B66" s="189"/>
      <c r="C66" s="189"/>
      <c r="D66" s="189"/>
      <c r="E66" s="189"/>
      <c r="F66" s="189"/>
      <c r="G66" s="189"/>
      <c r="H66" s="189"/>
      <c r="I66" s="189"/>
      <c r="J66" s="189"/>
    </row>
    <row r="67" ht="15" customHeight="1">
      <c r="B67" s="189"/>
      <c r="C67" s="189"/>
      <c r="D67" s="189"/>
      <c r="E67" s="189"/>
      <c r="F67" s="189"/>
      <c r="G67" s="189"/>
      <c r="H67" s="189"/>
      <c r="I67" s="189"/>
      <c r="J67" s="189"/>
    </row>
    <row r="68" ht="15" customHeight="1">
      <c r="B68" s="190" t="s">
        <v>407</v>
      </c>
      <c r="C68" s="190"/>
      <c r="D68" s="190"/>
      <c r="E68" s="190"/>
      <c r="F68" s="190"/>
      <c r="G68" s="190"/>
      <c r="H68" s="190"/>
      <c r="I68" s="190"/>
      <c r="J68" s="190"/>
    </row>
    <row r="69" ht="15" customHeight="1">
      <c r="B69" s="189"/>
      <c r="C69" s="189"/>
      <c r="D69" s="189"/>
      <c r="E69" s="189"/>
      <c r="F69" s="189"/>
      <c r="G69" s="189"/>
      <c r="H69" s="189"/>
      <c r="I69" s="189"/>
      <c r="J69" s="189"/>
    </row>
    <row r="70" ht="15" customHeight="1">
      <c r="B70" s="191" t="s">
        <v>12</v>
      </c>
      <c r="C70" s="191" t="s">
        <v>80</v>
      </c>
      <c r="D70" s="191" t="s">
        <v>408</v>
      </c>
      <c r="E70" s="191" t="s">
        <v>409</v>
      </c>
      <c r="F70" s="191" t="s">
        <v>410</v>
      </c>
      <c r="G70" s="189"/>
      <c r="H70" s="189"/>
      <c r="I70" s="189"/>
      <c r="J70" s="189"/>
    </row>
    <row r="71" ht="15" customHeight="1">
      <c r="B71" s="189" t="str">
        <f>'Moderate-Growth'!C8</f>
        <v>2026-27</v>
      </c>
      <c r="C71" s="212">
        <f>'Moderate-Growth'!C36</f>
        <v>752000</v>
      </c>
      <c r="D71" s="210">
        <f t="shared" si="6" ref="D71:F89">C71*$C$9</f>
        <v>75200</v>
      </c>
      <c r="E71" s="212">
        <f>'Bullish-Growth'!C36</f>
        <v>752000</v>
      </c>
      <c r="F71" s="210">
        <f t="shared" si="6"/>
        <v>75200</v>
      </c>
      <c r="G71" s="189"/>
      <c r="H71" s="189"/>
      <c r="I71" s="189"/>
      <c r="J71" s="189"/>
    </row>
    <row r="72" ht="15" customHeight="1">
      <c r="B72" s="189" t="str">
        <f>'Moderate-Growth'!D8</f>
        <v>2027-28</v>
      </c>
      <c r="C72" s="212">
        <f>'Moderate-Growth'!D36</f>
        <v>1101748.2758621</v>
      </c>
      <c r="D72" s="210">
        <f t="shared" si="6"/>
        <v>110174.82758621</v>
      </c>
      <c r="E72" s="212">
        <f>'Bullish-Growth'!D36</f>
        <v>1649634.4827586</v>
      </c>
      <c r="F72" s="210">
        <f t="shared" si="6"/>
        <v>164963.44827586</v>
      </c>
      <c r="G72" s="189"/>
      <c r="H72" s="189"/>
      <c r="I72" s="189"/>
      <c r="J72" s="189"/>
    </row>
    <row r="73" ht="15" customHeight="1">
      <c r="B73" s="189" t="str">
        <f>'Moderate-Growth'!E8</f>
        <v>2028-29</v>
      </c>
      <c r="C73" s="212">
        <f>'Moderate-Growth'!E36</f>
        <v>3543240.7834101</v>
      </c>
      <c r="D73" s="210">
        <f t="shared" si="6"/>
        <v>354324.07834101</v>
      </c>
      <c r="E73" s="212">
        <f>'Bullish-Growth'!E36</f>
        <v>5151945.8525346</v>
      </c>
      <c r="F73" s="210">
        <f t="shared" si="6"/>
        <v>515194.58525346</v>
      </c>
      <c r="G73" s="189"/>
      <c r="H73" s="189"/>
      <c r="I73" s="189"/>
      <c r="J73" s="189"/>
    </row>
    <row r="74" ht="15" customHeight="1">
      <c r="B74" s="189" t="str">
        <f>'Moderate-Growth'!F8</f>
        <v>2029-30</v>
      </c>
      <c r="C74" s="212">
        <f>'Moderate-Growth'!F36</f>
        <v>5461064.9555042</v>
      </c>
      <c r="D74" s="210">
        <f t="shared" si="6"/>
        <v>546106.49555042</v>
      </c>
      <c r="E74" s="212">
        <f>'Bullish-Growth'!F36</f>
        <v>7894808.5283454</v>
      </c>
      <c r="F74" s="210">
        <f t="shared" si="6"/>
        <v>789480.85283454</v>
      </c>
      <c r="G74" s="189"/>
      <c r="H74" s="189"/>
      <c r="I74" s="189"/>
      <c r="J74" s="189"/>
    </row>
    <row r="75" ht="15" customHeight="1">
      <c r="B75" s="189" t="str">
        <f>'Moderate-Growth'!G8</f>
        <v>2030-31</v>
      </c>
      <c r="C75" s="212">
        <f>'Moderate-Growth'!G36</f>
        <v>6070154.9728261</v>
      </c>
      <c r="D75" s="210">
        <f t="shared" si="6"/>
        <v>607015.49728261</v>
      </c>
      <c r="E75" s="212">
        <f>'Bullish-Growth'!G36</f>
        <v>9440459.3206522</v>
      </c>
      <c r="F75" s="210">
        <f t="shared" si="6"/>
        <v>944045.93206522</v>
      </c>
      <c r="G75" s="189"/>
      <c r="H75" s="189"/>
      <c r="I75" s="189"/>
      <c r="J75" s="189"/>
    </row>
    <row r="76" ht="15" customHeight="1">
      <c r="B76" s="189" t="str">
        <f>'Moderate-Growth'!H8</f>
        <v>2031-32</v>
      </c>
      <c r="C76" s="212">
        <f>'Moderate-Growth'!H36</f>
        <v>7297936.21875</v>
      </c>
      <c r="D76" s="210">
        <f t="shared" si="6"/>
        <v>729793.621875</v>
      </c>
      <c r="E76" s="212">
        <f>'Bullish-Growth'!H36</f>
        <v>12436436.2187499</v>
      </c>
      <c r="F76" s="210">
        <f t="shared" si="6"/>
        <v>1243643.62187499</v>
      </c>
      <c r="G76" s="189"/>
      <c r="H76" s="189"/>
      <c r="I76" s="189"/>
      <c r="J76" s="189"/>
    </row>
    <row r="77" ht="15" customHeight="1">
      <c r="B77" s="206" t="s">
        <v>411</v>
      </c>
      <c r="C77" s="208">
        <f t="shared" si="7" ref="C77:F77">SUM(C71:C76)</f>
        <v>24226145.2063525</v>
      </c>
      <c r="D77" s="208">
        <f t="shared" si="7"/>
        <v>2422614.52063525</v>
      </c>
      <c r="E77" s="208">
        <f t="shared" si="7"/>
        <v>37325284.4030407</v>
      </c>
      <c r="F77" s="208">
        <f t="shared" si="7"/>
        <v>3732528.44030407</v>
      </c>
      <c r="G77" s="189"/>
      <c r="H77" s="189"/>
      <c r="I77" s="189"/>
      <c r="J77" s="189"/>
    </row>
    <row r="78" ht="15" customHeight="1">
      <c r="B78" s="189"/>
      <c r="C78" s="189"/>
      <c r="D78" s="189"/>
      <c r="E78" s="189"/>
      <c r="F78" s="189"/>
      <c r="G78" s="189"/>
      <c r="H78" s="189"/>
      <c r="I78" s="189"/>
      <c r="J78" s="189"/>
    </row>
    <row r="79" ht="15" customHeight="1">
      <c r="B79" s="189"/>
      <c r="C79" s="189"/>
      <c r="D79" s="189"/>
      <c r="E79" s="189"/>
      <c r="F79" s="189"/>
      <c r="G79" s="189"/>
      <c r="H79" s="189"/>
      <c r="I79" s="189"/>
      <c r="J79" s="189"/>
    </row>
    <row r="80" ht="15" customHeight="1">
      <c r="B80" s="190" t="s">
        <v>412</v>
      </c>
      <c r="C80" s="190"/>
      <c r="D80" s="190"/>
      <c r="E80" s="190"/>
      <c r="F80" s="190"/>
      <c r="G80" s="190"/>
      <c r="H80" s="190"/>
      <c r="I80" s="190"/>
      <c r="J80" s="190"/>
    </row>
    <row r="81" ht="15" customHeight="1">
      <c r="B81" s="189"/>
      <c r="C81" s="189"/>
      <c r="D81" s="189"/>
      <c r="E81" s="189"/>
      <c r="F81" s="189"/>
      <c r="G81" s="189"/>
      <c r="H81" s="189"/>
      <c r="I81" s="189"/>
      <c r="J81" s="189"/>
    </row>
    <row r="82" ht="15" customHeight="1">
      <c r="B82" s="191" t="s">
        <v>127</v>
      </c>
      <c r="C82" s="191" t="s">
        <v>45</v>
      </c>
      <c r="D82" s="191" t="s">
        <v>413</v>
      </c>
      <c r="E82" s="191" t="s">
        <v>46</v>
      </c>
      <c r="F82" s="191" t="s">
        <v>47</v>
      </c>
      <c r="G82" s="191" t="s">
        <v>414</v>
      </c>
      <c r="H82" s="191" t="s">
        <v>131</v>
      </c>
      <c r="I82" s="191" t="s">
        <v>49</v>
      </c>
      <c r="J82" s="191" t="s">
        <v>50</v>
      </c>
    </row>
    <row r="83" ht="15" customHeight="1">
      <c r="B83" s="189" t="s">
        <v>141</v>
      </c>
      <c r="C83" s="216">
        <v>2</v>
      </c>
      <c r="D83" s="212">
        <f>'Moderate-Growth'!H28</f>
        <v>32782500.0000001</v>
      </c>
      <c r="E83" s="210">
        <f t="shared" si="8" ref="E83:E89">C83*D83</f>
        <v>65565000.0000002</v>
      </c>
      <c r="F83" s="210">
        <f t="shared" si="6"/>
        <v>6556500.00000002</v>
      </c>
      <c r="G83" s="210">
        <f t="shared" si="9" ref="G83:G85">$D$77</f>
        <v>2422614.52063525</v>
      </c>
      <c r="H83" s="210">
        <f t="shared" si="10" ref="H83:H89">F83+G83</f>
        <v>8979114.52063527</v>
      </c>
      <c r="I83" s="217">
        <f t="shared" si="11" ref="I83:I89">(H83-$C$10)/$C$10</f>
        <v>-0.102088547936473</v>
      </c>
      <c r="J83" s="218">
        <f t="shared" si="12" ref="J83:J89">H83/$C$10</f>
        <v>0.897911452063527</v>
      </c>
    </row>
    <row r="84" ht="15" customHeight="1">
      <c r="B84" s="189" t="s">
        <v>141</v>
      </c>
      <c r="C84" s="216">
        <v>3</v>
      </c>
      <c r="D84" s="212">
        <f>'Moderate-Growth'!H28</f>
        <v>32782500.0000001</v>
      </c>
      <c r="E84" s="210">
        <f t="shared" si="8"/>
        <v>98347500.0000003</v>
      </c>
      <c r="F84" s="210">
        <f t="shared" si="6"/>
        <v>9834750.00000003</v>
      </c>
      <c r="G84" s="210">
        <f t="shared" si="9"/>
        <v>2422614.52063525</v>
      </c>
      <c r="H84" s="210">
        <f t="shared" si="10"/>
        <v>12257364.5206353</v>
      </c>
      <c r="I84" s="217">
        <f t="shared" si="11"/>
        <v>0.22573645206353</v>
      </c>
      <c r="J84" s="218">
        <f t="shared" si="12"/>
        <v>1.22573645206353</v>
      </c>
    </row>
    <row r="85" ht="15" customHeight="1">
      <c r="B85" s="189" t="s">
        <v>141</v>
      </c>
      <c r="C85" s="216">
        <v>5</v>
      </c>
      <c r="D85" s="212">
        <f>'Moderate-Growth'!H28</f>
        <v>32782500.0000001</v>
      </c>
      <c r="E85" s="210">
        <f t="shared" si="8"/>
        <v>163912500.000001</v>
      </c>
      <c r="F85" s="210">
        <f t="shared" si="6"/>
        <v>16391250.0000001</v>
      </c>
      <c r="G85" s="210">
        <f t="shared" si="9"/>
        <v>2422614.52063525</v>
      </c>
      <c r="H85" s="210">
        <f t="shared" si="10"/>
        <v>18813864.5206354</v>
      </c>
      <c r="I85" s="217">
        <f t="shared" si="11"/>
        <v>0.88138645206354</v>
      </c>
      <c r="J85" s="218">
        <f t="shared" si="12"/>
        <v>1.88138645206354</v>
      </c>
    </row>
    <row r="86" ht="15" customHeight="1">
      <c r="B86" s="189"/>
      <c r="C86" s="219"/>
      <c r="D86" s="210"/>
      <c r="E86" s="210"/>
      <c r="F86" s="210"/>
      <c r="G86" s="210"/>
      <c r="H86" s="210"/>
      <c r="I86" s="217"/>
      <c r="J86" s="218"/>
    </row>
    <row r="87" ht="15" customHeight="1">
      <c r="B87" s="189" t="s">
        <v>142</v>
      </c>
      <c r="C87" s="216">
        <v>2</v>
      </c>
      <c r="D87" s="212">
        <f>'Bullish-Growth'!H28</f>
        <v>42779999.9999999</v>
      </c>
      <c r="E87" s="210">
        <f t="shared" si="8"/>
        <v>85559999.9999998</v>
      </c>
      <c r="F87" s="210">
        <f t="shared" si="6"/>
        <v>8555999.99999998</v>
      </c>
      <c r="G87" s="210">
        <f t="shared" si="13" ref="G87:G89">$F$77</f>
        <v>3732528.44030407</v>
      </c>
      <c r="H87" s="210">
        <f t="shared" si="10"/>
        <v>12288528.440304</v>
      </c>
      <c r="I87" s="217">
        <f t="shared" si="11"/>
        <v>0.2288528440304</v>
      </c>
      <c r="J87" s="218">
        <f t="shared" si="12"/>
        <v>1.2288528440304</v>
      </c>
    </row>
    <row r="88" ht="15" customHeight="1">
      <c r="B88" s="189" t="s">
        <v>142</v>
      </c>
      <c r="C88" s="216">
        <v>3</v>
      </c>
      <c r="D88" s="212">
        <f>'Bullish-Growth'!H28</f>
        <v>42779999.9999999</v>
      </c>
      <c r="E88" s="210">
        <f t="shared" si="8"/>
        <v>128340000</v>
      </c>
      <c r="F88" s="210">
        <f t="shared" si="6"/>
        <v>12834000</v>
      </c>
      <c r="G88" s="210">
        <f t="shared" si="13"/>
        <v>3732528.44030407</v>
      </c>
      <c r="H88" s="210">
        <f t="shared" si="10"/>
        <v>16566528.4403041</v>
      </c>
      <c r="I88" s="217">
        <f t="shared" si="11"/>
        <v>0.65665284403041</v>
      </c>
      <c r="J88" s="218">
        <f t="shared" si="12"/>
        <v>1.65665284403041</v>
      </c>
    </row>
    <row r="89" ht="15" customHeight="1">
      <c r="B89" s="189" t="s">
        <v>142</v>
      </c>
      <c r="C89" s="216">
        <v>5</v>
      </c>
      <c r="D89" s="212">
        <f>'Bullish-Growth'!H28</f>
        <v>42779999.9999999</v>
      </c>
      <c r="E89" s="210">
        <f t="shared" si="8"/>
        <v>213900000</v>
      </c>
      <c r="F89" s="210">
        <f t="shared" si="6"/>
        <v>21390000</v>
      </c>
      <c r="G89" s="210">
        <f t="shared" si="13"/>
        <v>3732528.44030407</v>
      </c>
      <c r="H89" s="210">
        <f t="shared" si="10"/>
        <v>25122528.4403041</v>
      </c>
      <c r="I89" s="217">
        <f t="shared" si="11"/>
        <v>1.51225284403041</v>
      </c>
      <c r="J89" s="218">
        <f t="shared" si="12"/>
        <v>2.51225284403041</v>
      </c>
    </row>
    <row r="90" ht="15" customHeight="1">
      <c r="B90" s="189"/>
      <c r="C90" s="189"/>
      <c r="D90" s="189"/>
      <c r="E90" s="189"/>
      <c r="F90" s="189"/>
      <c r="G90" s="189"/>
      <c r="H90" s="189"/>
      <c r="I90" s="189"/>
      <c r="J90" s="189"/>
    </row>
    <row r="91" ht="15" customHeight="1">
      <c r="B91" s="189"/>
      <c r="C91" s="189"/>
      <c r="D91" s="189"/>
      <c r="E91" s="189"/>
      <c r="F91" s="189"/>
      <c r="G91" s="189"/>
      <c r="H91" s="189"/>
      <c r="I91" s="189"/>
      <c r="J91" s="189"/>
    </row>
    <row r="92" ht="15" customHeight="1">
      <c r="B92" s="190" t="s">
        <v>415</v>
      </c>
      <c r="C92" s="190"/>
      <c r="D92" s="190"/>
      <c r="E92" s="190"/>
      <c r="F92" s="190"/>
      <c r="G92" s="190"/>
      <c r="H92" s="190"/>
      <c r="I92" s="190"/>
      <c r="J92" s="190"/>
    </row>
    <row r="93" ht="15" customHeight="1">
      <c r="B93" s="189"/>
      <c r="C93" s="189"/>
      <c r="D93" s="189"/>
      <c r="E93" s="189"/>
      <c r="F93" s="189"/>
      <c r="G93" s="189"/>
      <c r="H93" s="189"/>
      <c r="I93" s="189"/>
      <c r="J93" s="189"/>
    </row>
    <row r="94" ht="18" customHeight="1">
      <c r="B94" s="189">
        <v>1</v>
      </c>
      <c r="C94" s="220" t="s">
        <v>416</v>
      </c>
      <c r="D94" s="221" t="s">
        <v>417</v>
      </c>
      <c r="E94" s="189"/>
      <c r="F94" s="189"/>
      <c r="G94" s="189"/>
      <c r="H94" s="189"/>
      <c r="I94" s="189"/>
      <c r="J94" s="189"/>
    </row>
    <row r="95" ht="18" customHeight="1">
      <c r="B95" s="189">
        <v>2</v>
      </c>
      <c r="C95" s="220" t="s">
        <v>418</v>
      </c>
      <c r="D95" s="221" t="s">
        <v>419</v>
      </c>
      <c r="E95" s="189"/>
      <c r="F95" s="189"/>
      <c r="G95" s="189"/>
      <c r="H95" s="189"/>
      <c r="I95" s="189"/>
      <c r="J95" s="189"/>
    </row>
    <row r="96" ht="18" customHeight="1">
      <c r="B96" s="189">
        <v>3</v>
      </c>
      <c r="C96" s="220" t="s">
        <v>420</v>
      </c>
      <c r="D96" s="221" t="s">
        <v>421</v>
      </c>
      <c r="E96" s="189"/>
      <c r="F96" s="189"/>
      <c r="G96" s="189"/>
      <c r="H96" s="189"/>
      <c r="I96" s="189"/>
      <c r="J96" s="189"/>
    </row>
    <row r="97" ht="18" customHeight="1">
      <c r="B97" s="189">
        <v>4</v>
      </c>
      <c r="C97" s="220" t="s">
        <v>422</v>
      </c>
      <c r="D97" s="221" t="s">
        <v>423</v>
      </c>
      <c r="E97" s="189"/>
      <c r="F97" s="189"/>
      <c r="G97" s="189"/>
      <c r="H97" s="189"/>
      <c r="I97" s="189"/>
      <c r="J97" s="189"/>
    </row>
    <row r="98" ht="18" customHeight="1">
      <c r="B98" s="189">
        <v>5</v>
      </c>
      <c r="C98" s="220" t="s">
        <v>424</v>
      </c>
      <c r="D98" s="221" t="s">
        <v>425</v>
      </c>
      <c r="E98" s="189"/>
      <c r="F98" s="189"/>
      <c r="G98" s="189"/>
      <c r="H98" s="189"/>
      <c r="I98" s="189"/>
      <c r="J98" s="189"/>
    </row>
    <row r="99" ht="18" customHeight="1">
      <c r="B99" s="189">
        <v>6</v>
      </c>
      <c r="C99" s="220" t="s">
        <v>426</v>
      </c>
      <c r="D99" s="221" t="s">
        <v>427</v>
      </c>
      <c r="E99" s="189"/>
      <c r="F99" s="189"/>
      <c r="G99" s="189"/>
      <c r="H99" s="189"/>
      <c r="I99" s="189"/>
      <c r="J99" s="189"/>
    </row>
    <row r="100" ht="25.5" customHeight="1">
      <c r="B100" s="189"/>
      <c r="C100" s="189"/>
      <c r="D100" s="189"/>
      <c r="E100" s="189"/>
      <c r="F100" s="189"/>
      <c r="G100" s="189"/>
      <c r="H100" s="189"/>
      <c r="I100" s="189"/>
      <c r="J100" s="189"/>
    </row>
    <row r="101" ht="15" customHeight="1">
      <c r="B101" s="189"/>
      <c r="C101" s="189"/>
      <c r="D101" s="189"/>
      <c r="E101" s="189"/>
      <c r="F101" s="189"/>
      <c r="G101" s="189"/>
      <c r="H101" s="189"/>
      <c r="I101" s="189"/>
      <c r="J101" s="189"/>
    </row>
    <row r="102" ht="15" customHeight="1">
      <c r="B102" s="190" t="s">
        <v>428</v>
      </c>
      <c r="C102" s="190"/>
      <c r="D102" s="190"/>
      <c r="E102" s="190"/>
      <c r="F102" s="190"/>
      <c r="G102" s="190"/>
      <c r="H102" s="190"/>
      <c r="I102" s="190"/>
      <c r="J102" s="190"/>
    </row>
    <row r="103" ht="15" customHeight="1">
      <c r="B103" s="189"/>
      <c r="C103" s="189"/>
      <c r="D103" s="189"/>
      <c r="E103" s="189"/>
      <c r="F103" s="189"/>
      <c r="G103" s="189"/>
      <c r="H103" s="189"/>
      <c r="I103" s="189"/>
      <c r="J103" s="189"/>
    </row>
    <row r="104" ht="18" customHeight="1">
      <c r="B104" s="189">
        <v>1</v>
      </c>
      <c r="C104" s="220" t="s">
        <v>429</v>
      </c>
      <c r="D104" s="221" t="s">
        <v>430</v>
      </c>
      <c r="E104" s="189"/>
      <c r="F104" s="189"/>
      <c r="G104" s="189"/>
      <c r="H104" s="189"/>
      <c r="I104" s="189"/>
      <c r="J104" s="189"/>
    </row>
    <row r="105" ht="18" customHeight="1">
      <c r="B105" s="189">
        <v>2</v>
      </c>
      <c r="C105" s="220" t="s">
        <v>381</v>
      </c>
      <c r="D105" s="221" t="s">
        <v>431</v>
      </c>
      <c r="E105" s="189"/>
      <c r="F105" s="189"/>
      <c r="G105" s="189"/>
      <c r="H105" s="189"/>
      <c r="I105" s="189"/>
      <c r="J105" s="189"/>
    </row>
    <row r="106" ht="18" customHeight="1">
      <c r="B106" s="189">
        <v>3</v>
      </c>
      <c r="C106" s="220" t="s">
        <v>432</v>
      </c>
      <c r="D106" s="221" t="s">
        <v>433</v>
      </c>
      <c r="E106" s="189"/>
      <c r="F106" s="189"/>
      <c r="G106" s="189"/>
      <c r="H106" s="189"/>
      <c r="I106" s="189"/>
      <c r="J106" s="189"/>
    </row>
    <row r="107" ht="18" customHeight="1">
      <c r="B107" s="189">
        <v>4</v>
      </c>
      <c r="C107" s="220" t="s">
        <v>434</v>
      </c>
      <c r="D107" s="221" t="s">
        <v>435</v>
      </c>
      <c r="E107" s="189"/>
      <c r="F107" s="189"/>
      <c r="G107" s="189"/>
      <c r="H107" s="189"/>
      <c r="I107" s="189"/>
      <c r="J107" s="189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D2AF468-9238-7945-2318-D8E9A4636E44}" mc:Ignorable="x14ac xr xr2 xr3">
  <dimension ref="A1:CV10000"/>
  <sheetViews>
    <sheetView topLeftCell="A1" workbookViewId="0" tabSelected="1">
      <selection activeCell="F6" sqref="F6"/>
    </sheetView>
  </sheetViews>
  <sheetFormatPr defaultRowHeight="15" defaultColWidth="8.8515625" customHeight="1"/>
  <cols>
    <col min="2" max="2" width="35.00390625" customWidth="1"/>
    <col min="3" max="3" width="20.7109375" customWidth="1"/>
    <col min="4" max="5" width="24.28125" customWidth="1"/>
    <col min="6" max="6" width="26.421875" customWidth="1"/>
    <col min="7" max="7" width="22.140625" customWidth="1"/>
    <col min="8" max="8" width="20.7109375" customWidth="1"/>
    <col min="9" max="10" width="14.28125" customWidth="1"/>
  </cols>
  <sheetData>
    <row r="2" ht="22.5" customHeight="1">
      <c r="B2" s="186" t="s">
        <v>436</v>
      </c>
      <c r="C2" s="186"/>
      <c r="D2" s="186"/>
      <c r="E2" s="186"/>
      <c r="F2" s="186"/>
      <c r="G2" s="186"/>
      <c r="H2" s="186"/>
      <c r="I2" s="186"/>
      <c r="J2" s="186"/>
    </row>
    <row r="3" ht="18" customHeight="1">
      <c r="B3" s="187" t="s">
        <v>437</v>
      </c>
      <c r="C3" s="188"/>
      <c r="D3" s="188"/>
      <c r="E3" s="188"/>
      <c r="F3" s="188"/>
      <c r="G3" s="188"/>
      <c r="H3" s="188"/>
      <c r="I3" s="188"/>
      <c r="J3" s="188"/>
    </row>
    <row r="4" ht="15" customHeight="1">
      <c r="B4" s="189"/>
      <c r="C4" s="189"/>
      <c r="D4" s="189"/>
      <c r="E4" s="189"/>
      <c r="F4" s="189"/>
      <c r="G4" s="189"/>
      <c r="H4" s="189"/>
      <c r="I4" s="189"/>
      <c r="J4" s="189"/>
    </row>
    <row r="5" ht="15" customHeight="1">
      <c r="B5" s="190" t="s">
        <v>335</v>
      </c>
      <c r="C5" s="190"/>
      <c r="D5" s="190"/>
      <c r="E5" s="190"/>
      <c r="F5" s="190"/>
      <c r="G5" s="190"/>
      <c r="H5" s="190"/>
      <c r="I5" s="190"/>
      <c r="J5" s="190"/>
    </row>
    <row r="6" ht="15" customHeight="1">
      <c r="B6" s="189"/>
      <c r="C6" s="189"/>
      <c r="D6" s="189"/>
      <c r="E6" s="189"/>
      <c r="F6" s="189"/>
      <c r="G6" s="189"/>
      <c r="H6" s="189"/>
      <c r="I6" s="189"/>
      <c r="J6" s="189"/>
    </row>
    <row r="7" ht="15" customHeight="1">
      <c r="B7" s="191" t="s">
        <v>336</v>
      </c>
      <c r="C7" s="191" t="s">
        <v>337</v>
      </c>
      <c r="D7" s="191" t="s">
        <v>338</v>
      </c>
      <c r="E7" s="191" t="s">
        <v>339</v>
      </c>
      <c r="F7" s="189"/>
      <c r="G7" s="189"/>
      <c r="H7" s="189"/>
      <c r="I7" s="189"/>
      <c r="J7" s="189"/>
    </row>
    <row r="8" ht="15" customHeight="1">
      <c r="B8" s="192" t="s">
        <v>33</v>
      </c>
      <c r="C8" s="193">
        <v>1500000</v>
      </c>
      <c r="D8" s="192" t="s">
        <v>340</v>
      </c>
      <c r="E8" s="192" t="s">
        <v>438</v>
      </c>
      <c r="F8" s="189"/>
      <c r="G8" s="189"/>
      <c r="H8" s="189"/>
      <c r="I8" s="189"/>
      <c r="J8" s="189"/>
    </row>
    <row r="9" ht="15" customHeight="1">
      <c r="B9" s="192" t="s">
        <v>342</v>
      </c>
      <c r="C9" s="194">
        <v>0.1</v>
      </c>
      <c r="D9" s="192" t="s">
        <v>343</v>
      </c>
      <c r="E9" s="192" t="s">
        <v>344</v>
      </c>
      <c r="F9" s="189"/>
      <c r="G9" s="189"/>
      <c r="H9" s="189"/>
      <c r="I9" s="189"/>
      <c r="J9" s="189"/>
    </row>
    <row r="10" ht="15" customHeight="1">
      <c r="B10" s="195" t="s">
        <v>345</v>
      </c>
      <c r="C10" s="196">
        <f>C8*(C9/1%)</f>
        <v>15000000</v>
      </c>
      <c r="D10" s="192" t="s">
        <v>346</v>
      </c>
      <c r="E10" s="192" t="s">
        <v>439</v>
      </c>
      <c r="F10" s="189"/>
      <c r="G10" s="189"/>
      <c r="H10" s="189"/>
      <c r="I10" s="189"/>
      <c r="J10" s="189"/>
    </row>
    <row r="11" ht="15" customHeight="1">
      <c r="B11" s="195" t="s">
        <v>36</v>
      </c>
      <c r="C11" s="196">
        <f>C8/1%</f>
        <v>150000000</v>
      </c>
      <c r="D11" s="192" t="s">
        <v>346</v>
      </c>
      <c r="E11" s="192" t="s">
        <v>348</v>
      </c>
      <c r="F11" s="189"/>
      <c r="G11" s="189"/>
      <c r="H11" s="189"/>
      <c r="I11" s="189"/>
      <c r="J11" s="189"/>
    </row>
    <row r="12" ht="15" customHeight="1">
      <c r="B12" s="195" t="s">
        <v>35</v>
      </c>
      <c r="C12" s="196">
        <f>C11-C10</f>
        <v>135000000</v>
      </c>
      <c r="D12" s="192" t="s">
        <v>346</v>
      </c>
      <c r="E12" s="192" t="s">
        <v>349</v>
      </c>
      <c r="F12" s="189"/>
      <c r="G12" s="189"/>
      <c r="H12" s="189"/>
      <c r="I12" s="189"/>
      <c r="J12" s="189"/>
    </row>
    <row r="13" ht="15" customHeight="1">
      <c r="B13" s="192" t="s">
        <v>350</v>
      </c>
      <c r="C13" s="197">
        <f>'Share-Valuation'!C50</f>
        <v>31</v>
      </c>
      <c r="D13" s="192" t="s">
        <v>351</v>
      </c>
      <c r="E13" s="192" t="s">
        <v>352</v>
      </c>
      <c r="F13" s="189"/>
      <c r="G13" s="189"/>
      <c r="H13" s="189"/>
      <c r="I13" s="189"/>
      <c r="J13" s="189"/>
    </row>
    <row r="14" ht="15" customHeight="1">
      <c r="B14" s="192" t="s">
        <v>353</v>
      </c>
      <c r="C14" s="198">
        <f>'Financial-Summary'!C6</f>
        <v>200</v>
      </c>
      <c r="D14" s="192" t="s">
        <v>354</v>
      </c>
      <c r="E14" s="192" t="s">
        <v>355</v>
      </c>
      <c r="F14" s="189"/>
      <c r="G14" s="189"/>
      <c r="H14" s="189"/>
      <c r="I14" s="189"/>
      <c r="J14" s="189"/>
    </row>
    <row r="15" ht="15" customHeight="1">
      <c r="B15" s="192" t="s">
        <v>356</v>
      </c>
      <c r="C15" s="199">
        <f>'Financial-Summary'!E6</f>
        <v>7500000</v>
      </c>
      <c r="D15" s="192" t="s">
        <v>357</v>
      </c>
      <c r="E15" s="192" t="s">
        <v>358</v>
      </c>
      <c r="F15" s="189"/>
      <c r="G15" s="189"/>
      <c r="H15" s="189"/>
      <c r="I15" s="189"/>
      <c r="J15" s="189"/>
    </row>
    <row r="16" ht="15" customHeight="1">
      <c r="B16" s="192" t="s">
        <v>359</v>
      </c>
      <c r="C16" s="199">
        <f>'Fund-Infusion'!C13</f>
        <v>9600000</v>
      </c>
      <c r="D16" s="192" t="s">
        <v>346</v>
      </c>
      <c r="E16" s="192" t="s">
        <v>360</v>
      </c>
      <c r="F16" s="189"/>
      <c r="G16" s="189"/>
      <c r="H16" s="189"/>
      <c r="I16" s="189"/>
      <c r="J16" s="189"/>
    </row>
    <row r="17" ht="15" customHeight="1">
      <c r="B17" s="192" t="s">
        <v>361</v>
      </c>
      <c r="C17" s="199">
        <f>'Fund-Infusion'!D13</f>
        <v>94000</v>
      </c>
      <c r="D17" s="192" t="s">
        <v>362</v>
      </c>
      <c r="E17" s="192" t="s">
        <v>363</v>
      </c>
      <c r="F17" s="189"/>
      <c r="G17" s="189"/>
      <c r="H17" s="189"/>
      <c r="I17" s="189"/>
      <c r="J17" s="189"/>
    </row>
    <row r="18" ht="15" customHeight="1">
      <c r="B18" s="189"/>
      <c r="C18" s="189"/>
      <c r="D18" s="189"/>
      <c r="E18" s="189"/>
      <c r="F18" s="189"/>
      <c r="G18" s="189"/>
      <c r="H18" s="189"/>
      <c r="I18" s="189"/>
      <c r="J18" s="189"/>
    </row>
    <row r="19" ht="15" customHeight="1">
      <c r="B19" s="189"/>
      <c r="C19" s="189"/>
      <c r="D19" s="189"/>
      <c r="E19" s="189"/>
      <c r="F19" s="189"/>
      <c r="G19" s="189"/>
      <c r="H19" s="189"/>
      <c r="I19" s="189"/>
      <c r="J19" s="189"/>
    </row>
    <row r="20" ht="15" customHeight="1">
      <c r="B20" s="190" t="s">
        <v>440</v>
      </c>
      <c r="C20" s="190"/>
      <c r="D20" s="190"/>
      <c r="E20" s="190"/>
      <c r="F20" s="190"/>
      <c r="G20" s="190"/>
      <c r="H20" s="190"/>
      <c r="I20" s="190"/>
      <c r="J20" s="190"/>
    </row>
    <row r="21" ht="15" customHeight="1">
      <c r="B21" s="189"/>
      <c r="C21" s="189"/>
      <c r="D21" s="189"/>
      <c r="E21" s="189"/>
      <c r="F21" s="189"/>
      <c r="G21" s="189"/>
      <c r="H21" s="189"/>
      <c r="I21" s="189"/>
      <c r="J21" s="189"/>
    </row>
    <row r="22" ht="15" customHeight="1">
      <c r="B22" s="191" t="s">
        <v>365</v>
      </c>
      <c r="C22" s="191" t="s">
        <v>366</v>
      </c>
      <c r="D22" s="191" t="s">
        <v>367</v>
      </c>
      <c r="E22" s="191" t="s">
        <v>368</v>
      </c>
      <c r="F22" s="189"/>
      <c r="G22" s="189"/>
      <c r="H22" s="189"/>
      <c r="I22" s="189"/>
      <c r="J22" s="189"/>
    </row>
    <row r="23" ht="15" customHeight="1">
      <c r="B23" s="200">
        <v>0.01</v>
      </c>
      <c r="C23" s="201">
        <f t="shared" si="0" ref="C23:C26">$C$8*(B23/1%)</f>
        <v>1500000</v>
      </c>
      <c r="D23" s="201">
        <f t="shared" si="1" ref="D23:D26">C23/B23</f>
        <v>150000000</v>
      </c>
      <c r="E23" s="192" t="s">
        <v>369</v>
      </c>
      <c r="F23" s="189"/>
      <c r="G23" s="189"/>
      <c r="H23" s="189"/>
      <c r="I23" s="189"/>
      <c r="J23" s="189"/>
    </row>
    <row r="24" ht="15" customHeight="1">
      <c r="B24" s="200">
        <v>0.05</v>
      </c>
      <c r="C24" s="201">
        <f t="shared" si="0"/>
        <v>7500000</v>
      </c>
      <c r="D24" s="201">
        <f t="shared" si="1"/>
        <v>150000000</v>
      </c>
      <c r="E24" s="192" t="s">
        <v>370</v>
      </c>
      <c r="F24" s="189"/>
      <c r="G24" s="189"/>
      <c r="H24" s="189"/>
      <c r="I24" s="189"/>
      <c r="J24" s="189"/>
    </row>
    <row r="25" ht="15" customHeight="1">
      <c r="B25" s="202">
        <v>0.1</v>
      </c>
      <c r="C25" s="203">
        <f t="shared" si="0"/>
        <v>15000000</v>
      </c>
      <c r="D25" s="203">
        <f t="shared" si="1"/>
        <v>150000000</v>
      </c>
      <c r="E25" s="204" t="s">
        <v>371</v>
      </c>
      <c r="F25" s="189"/>
      <c r="G25" s="189"/>
      <c r="H25" s="189"/>
      <c r="I25" s="189"/>
      <c r="J25" s="189"/>
    </row>
    <row r="26" ht="15" customHeight="1">
      <c r="B26" s="200">
        <v>0.15</v>
      </c>
      <c r="C26" s="201">
        <f t="shared" si="0"/>
        <v>22500000</v>
      </c>
      <c r="D26" s="201">
        <f t="shared" si="1"/>
        <v>150000000</v>
      </c>
      <c r="E26" s="192" t="s">
        <v>372</v>
      </c>
      <c r="F26" s="189"/>
      <c r="G26" s="189"/>
      <c r="H26" s="189"/>
      <c r="I26" s="189"/>
      <c r="J26" s="189"/>
    </row>
    <row r="27" ht="15" customHeight="1">
      <c r="B27" s="189"/>
      <c r="C27" s="189"/>
      <c r="D27" s="189"/>
      <c r="E27" s="189"/>
      <c r="F27" s="189"/>
      <c r="G27" s="189"/>
      <c r="H27" s="189"/>
      <c r="I27" s="189"/>
      <c r="J27" s="189"/>
    </row>
    <row r="28" ht="15" customHeight="1">
      <c r="B28" s="189"/>
      <c r="C28" s="189"/>
      <c r="D28" s="189"/>
      <c r="E28" s="189"/>
      <c r="F28" s="189"/>
      <c r="G28" s="189"/>
      <c r="H28" s="189"/>
      <c r="I28" s="189"/>
      <c r="J28" s="189"/>
    </row>
    <row r="29" ht="15" customHeight="1">
      <c r="B29" s="190" t="s">
        <v>441</v>
      </c>
      <c r="C29" s="190"/>
      <c r="D29" s="190"/>
      <c r="E29" s="190"/>
      <c r="F29" s="190"/>
      <c r="G29" s="190"/>
      <c r="H29" s="190"/>
      <c r="I29" s="190"/>
      <c r="J29" s="190"/>
    </row>
    <row r="30" ht="15" customHeight="1">
      <c r="B30" s="189"/>
      <c r="C30" s="189"/>
      <c r="D30" s="189"/>
      <c r="E30" s="189"/>
      <c r="F30" s="189"/>
      <c r="G30" s="189"/>
      <c r="H30" s="189"/>
      <c r="I30" s="189"/>
      <c r="J30" s="189"/>
    </row>
    <row r="31" ht="15" customHeight="1">
      <c r="B31" s="191" t="s">
        <v>374</v>
      </c>
      <c r="C31" s="191" t="s">
        <v>375</v>
      </c>
      <c r="D31" s="191" t="s">
        <v>174</v>
      </c>
      <c r="E31" s="191" t="s">
        <v>173</v>
      </c>
      <c r="F31" s="191" t="s">
        <v>376</v>
      </c>
      <c r="G31" s="191" t="s">
        <v>377</v>
      </c>
      <c r="H31" s="189"/>
      <c r="I31" s="189"/>
      <c r="J31" s="189"/>
    </row>
    <row r="32" ht="25.5" customHeight="1">
      <c r="B32" s="192" t="s">
        <v>378</v>
      </c>
      <c r="C32" s="200">
        <v>0.45</v>
      </c>
      <c r="D32" s="201">
        <f t="shared" si="2" ref="D32:D35">$C$10*C32</f>
        <v>6750000</v>
      </c>
      <c r="E32" s="205" t="s">
        <v>379</v>
      </c>
      <c r="F32" s="205" t="s">
        <v>380</v>
      </c>
      <c r="G32" s="189"/>
      <c r="H32" s="189"/>
      <c r="I32" s="189"/>
      <c r="J32" s="189"/>
    </row>
    <row r="33" ht="25.5" customHeight="1">
      <c r="B33" s="192" t="s">
        <v>381</v>
      </c>
      <c r="C33" s="200">
        <v>0.25</v>
      </c>
      <c r="D33" s="201">
        <f t="shared" si="2"/>
        <v>3750000</v>
      </c>
      <c r="E33" s="205" t="s">
        <v>382</v>
      </c>
      <c r="F33" s="205" t="s">
        <v>383</v>
      </c>
      <c r="G33" s="189"/>
      <c r="H33" s="189"/>
      <c r="I33" s="189"/>
      <c r="J33" s="189"/>
    </row>
    <row r="34" ht="25.5" customHeight="1">
      <c r="B34" s="192" t="s">
        <v>384</v>
      </c>
      <c r="C34" s="200">
        <v>0.15</v>
      </c>
      <c r="D34" s="201">
        <f t="shared" si="2"/>
        <v>2250000</v>
      </c>
      <c r="E34" s="205" t="s">
        <v>385</v>
      </c>
      <c r="F34" s="205" t="s">
        <v>386</v>
      </c>
      <c r="G34" s="189"/>
      <c r="H34" s="189"/>
      <c r="I34" s="189"/>
      <c r="J34" s="189"/>
    </row>
    <row r="35" ht="25.5" customHeight="1">
      <c r="B35" s="192" t="s">
        <v>387</v>
      </c>
      <c r="C35" s="200">
        <v>0.15</v>
      </c>
      <c r="D35" s="201">
        <f t="shared" si="2"/>
        <v>2250000</v>
      </c>
      <c r="E35" s="205" t="s">
        <v>388</v>
      </c>
      <c r="F35" s="205" t="s">
        <v>389</v>
      </c>
      <c r="G35" s="189"/>
      <c r="H35" s="189"/>
      <c r="I35" s="189"/>
      <c r="J35" s="189"/>
    </row>
    <row r="36" ht="15" customHeight="1">
      <c r="B36" s="206" t="s">
        <v>390</v>
      </c>
      <c r="C36" s="207">
        <f t="shared" si="3" ref="C36:D36">SUM(C32:C35)</f>
        <v>1</v>
      </c>
      <c r="D36" s="208">
        <f t="shared" si="3"/>
        <v>15000000</v>
      </c>
      <c r="E36" s="206" t="s">
        <v>391</v>
      </c>
      <c r="F36" s="206" t="s">
        <v>392</v>
      </c>
      <c r="G36" s="209" t="str">
        <f>IF(D36=$C$10,"OK","CHECK")</f>
        <v>OK</v>
      </c>
      <c r="H36" s="189"/>
      <c r="I36" s="189"/>
      <c r="J36" s="189"/>
    </row>
    <row r="37" ht="15" customHeight="1">
      <c r="B37" s="189"/>
      <c r="C37" s="189"/>
      <c r="D37" s="210"/>
      <c r="E37" s="189"/>
      <c r="F37" s="189"/>
      <c r="G37" s="189"/>
      <c r="H37" s="189"/>
      <c r="I37" s="189"/>
      <c r="J37" s="189"/>
    </row>
    <row r="38" ht="15" customHeight="1">
      <c r="B38" s="189" t="s">
        <v>394</v>
      </c>
      <c r="C38" s="189"/>
      <c r="D38" s="210">
        <f>D32/$C$16*$C$17</f>
        <v>66093.75</v>
      </c>
      <c r="E38" s="189" t="s">
        <v>395</v>
      </c>
      <c r="F38" s="189" t="s">
        <v>396</v>
      </c>
      <c r="G38" s="189"/>
      <c r="H38" s="189"/>
      <c r="I38" s="189"/>
      <c r="J38" s="189"/>
    </row>
    <row r="39" ht="15" customHeight="1">
      <c r="B39" s="189" t="s">
        <v>397</v>
      </c>
      <c r="C39" s="189"/>
      <c r="D39" s="210">
        <f>D38*12</f>
        <v>793125</v>
      </c>
      <c r="E39" s="189" t="s">
        <v>398</v>
      </c>
      <c r="F39" s="189" t="s">
        <v>399</v>
      </c>
      <c r="G39" s="189"/>
      <c r="H39" s="189"/>
      <c r="I39" s="189"/>
      <c r="J39" s="189"/>
    </row>
    <row r="40" ht="15" customHeight="1">
      <c r="B40" s="189"/>
      <c r="C40" s="189"/>
      <c r="D40" s="189"/>
      <c r="E40" s="189"/>
      <c r="F40" s="189"/>
      <c r="G40" s="189"/>
      <c r="H40" s="189"/>
      <c r="I40" s="189"/>
      <c r="J40" s="189"/>
    </row>
    <row r="41" ht="15" customHeight="1">
      <c r="B41" s="189"/>
      <c r="C41" s="189"/>
      <c r="D41" s="189"/>
      <c r="E41" s="189"/>
      <c r="F41" s="189"/>
      <c r="G41" s="189"/>
      <c r="H41" s="189"/>
      <c r="I41" s="189"/>
      <c r="J41" s="189"/>
    </row>
    <row r="42" ht="15" customHeight="1">
      <c r="B42" s="190" t="s">
        <v>400</v>
      </c>
      <c r="C42" s="190"/>
      <c r="D42" s="190"/>
      <c r="E42" s="190"/>
      <c r="F42" s="190"/>
      <c r="G42" s="190"/>
      <c r="H42" s="190"/>
      <c r="I42" s="190"/>
      <c r="J42" s="190"/>
    </row>
    <row r="43" ht="15" customHeight="1">
      <c r="B43" s="189"/>
      <c r="C43" s="189"/>
      <c r="D43" s="189"/>
      <c r="E43" s="189"/>
      <c r="F43" s="189"/>
      <c r="G43" s="189"/>
      <c r="H43" s="189"/>
      <c r="I43" s="189"/>
      <c r="J43" s="189"/>
    </row>
    <row r="44" ht="15" customHeight="1">
      <c r="B44" s="191" t="s">
        <v>12</v>
      </c>
      <c r="C44" s="191" t="s">
        <v>13</v>
      </c>
      <c r="D44" s="191" t="s">
        <v>401</v>
      </c>
      <c r="E44" s="191" t="s">
        <v>402</v>
      </c>
      <c r="F44" s="191" t="s">
        <v>403</v>
      </c>
      <c r="G44" s="189"/>
      <c r="H44" s="189"/>
      <c r="I44" s="189"/>
      <c r="J44" s="189"/>
    </row>
    <row r="45" ht="15" customHeight="1">
      <c r="B45" s="189" t="str">
        <f>'Moderate-Growth'!C8</f>
        <v>2026-27</v>
      </c>
      <c r="C45" s="211">
        <f>'Moderate-Growth'!C10</f>
        <v>200</v>
      </c>
      <c r="D45" s="212">
        <f>'Moderate-Growth'!C28</f>
        <v>7500000</v>
      </c>
      <c r="E45" s="212">
        <f>'Moderate-Growth'!C36</f>
        <v>752000</v>
      </c>
      <c r="F45" s="213">
        <f>'Moderate-Growth'!C37</f>
        <v>0.100266666666667</v>
      </c>
      <c r="G45" s="189"/>
      <c r="H45" s="189"/>
      <c r="I45" s="189"/>
      <c r="J45" s="189"/>
    </row>
    <row r="46" ht="15" customHeight="1">
      <c r="B46" s="189" t="str">
        <f>'Moderate-Growth'!D8</f>
        <v>2027-28</v>
      </c>
      <c r="C46" s="211">
        <f>'Moderate-Growth'!D10</f>
        <v>275</v>
      </c>
      <c r="D46" s="212">
        <f>'Moderate-Growth'!D28</f>
        <v>10065948.2758621</v>
      </c>
      <c r="E46" s="212">
        <f>'Moderate-Growth'!D36</f>
        <v>1101748.2758621</v>
      </c>
      <c r="F46" s="213">
        <f>'Moderate-Growth'!D37</f>
        <v>0.109453003896718</v>
      </c>
      <c r="G46" s="189"/>
      <c r="H46" s="189"/>
      <c r="I46" s="189"/>
      <c r="J46" s="189"/>
    </row>
    <row r="47" ht="15" customHeight="1">
      <c r="B47" s="189" t="str">
        <f>'Moderate-Growth'!E8</f>
        <v>2028-29</v>
      </c>
      <c r="C47" s="211">
        <f>'Moderate-Growth'!E10</f>
        <v>375</v>
      </c>
      <c r="D47" s="212">
        <f>'Moderate-Growth'!E28</f>
        <v>15203571.4285714</v>
      </c>
      <c r="E47" s="212">
        <f>'Moderate-Growth'!E36</f>
        <v>3543240.7834101</v>
      </c>
      <c r="F47" s="213">
        <f>'Moderate-Growth'!E37</f>
        <v>0.233053187539307</v>
      </c>
      <c r="G47" s="189"/>
      <c r="H47" s="189"/>
      <c r="I47" s="189"/>
      <c r="J47" s="189"/>
    </row>
    <row r="48" ht="15" customHeight="1">
      <c r="B48" s="189" t="str">
        <f>'Moderate-Growth'!F8</f>
        <v>2029-30</v>
      </c>
      <c r="C48" s="211">
        <f>'Moderate-Growth'!F10</f>
        <v>485</v>
      </c>
      <c r="D48" s="212">
        <f>'Moderate-Growth'!F28</f>
        <v>19908658.5365853</v>
      </c>
      <c r="E48" s="212">
        <f>'Moderate-Growth'!F36</f>
        <v>5461064.9555042</v>
      </c>
      <c r="F48" s="213">
        <f>'Moderate-Growth'!F37</f>
        <v>0.274306023455505</v>
      </c>
      <c r="G48" s="189"/>
      <c r="H48" s="189"/>
      <c r="I48" s="189"/>
      <c r="J48" s="189"/>
    </row>
    <row r="49" ht="15" customHeight="1">
      <c r="B49" s="189" t="str">
        <f>'Moderate-Growth'!G8</f>
        <v>2030-31</v>
      </c>
      <c r="C49" s="211">
        <f>'Moderate-Growth'!G10</f>
        <v>605</v>
      </c>
      <c r="D49" s="212">
        <f>'Moderate-Growth'!G28</f>
        <v>26499000</v>
      </c>
      <c r="E49" s="212">
        <f>'Moderate-Growth'!G36</f>
        <v>6070154.9728261</v>
      </c>
      <c r="F49" s="213">
        <f>'Moderate-Growth'!G37</f>
        <v>0.22907109599706</v>
      </c>
      <c r="G49" s="189"/>
      <c r="H49" s="189"/>
      <c r="I49" s="189"/>
      <c r="J49" s="189"/>
    </row>
    <row r="50" ht="15" customHeight="1">
      <c r="B50" s="189" t="str">
        <f>'Moderate-Growth'!H8</f>
        <v>2031-32</v>
      </c>
      <c r="C50" s="211">
        <f>'Moderate-Growth'!H10</f>
        <v>705</v>
      </c>
      <c r="D50" s="212">
        <f>'Moderate-Growth'!H28</f>
        <v>32782500.0000001</v>
      </c>
      <c r="E50" s="212">
        <f>'Moderate-Growth'!H36</f>
        <v>7297936.21875</v>
      </c>
      <c r="F50" s="213">
        <f>'Moderate-Growth'!H37</f>
        <v>0.222616829672843</v>
      </c>
      <c r="G50" s="189"/>
      <c r="H50" s="189"/>
      <c r="I50" s="189"/>
      <c r="J50" s="189"/>
    </row>
    <row r="51" ht="15" customHeight="1">
      <c r="B51" s="189" t="s">
        <v>404</v>
      </c>
      <c r="C51" s="189"/>
      <c r="D51" s="214">
        <f t="shared" si="4" ref="D51:D64">(D50/D45)^(1/5)-1</f>
        <v>0.343124160226934</v>
      </c>
      <c r="E51" s="189"/>
      <c r="F51" s="189"/>
      <c r="G51" s="189"/>
      <c r="H51" s="189"/>
      <c r="I51" s="189"/>
      <c r="J51" s="189"/>
    </row>
    <row r="52" ht="15" customHeight="1">
      <c r="B52" s="189" t="s">
        <v>405</v>
      </c>
      <c r="C52" s="189"/>
      <c r="D52" s="189"/>
      <c r="E52" s="215">
        <f t="shared" si="5" ref="E52:E65">SUM(E45:E50)</f>
        <v>24226145.2063525</v>
      </c>
      <c r="F52" s="189"/>
      <c r="G52" s="189"/>
      <c r="H52" s="189"/>
      <c r="I52" s="189"/>
      <c r="J52" s="189"/>
    </row>
    <row r="53" ht="15" customHeight="1">
      <c r="B53" s="189"/>
      <c r="C53" s="189"/>
      <c r="D53" s="189"/>
      <c r="E53" s="189"/>
      <c r="F53" s="189"/>
      <c r="G53" s="189"/>
      <c r="H53" s="189"/>
      <c r="I53" s="189"/>
      <c r="J53" s="189"/>
    </row>
    <row r="54" ht="15" customHeight="1">
      <c r="B54" s="189"/>
      <c r="C54" s="189"/>
      <c r="D54" s="189"/>
      <c r="E54" s="189"/>
      <c r="F54" s="189"/>
      <c r="G54" s="189"/>
      <c r="H54" s="189"/>
      <c r="I54" s="189"/>
      <c r="J54" s="189"/>
    </row>
    <row r="55" ht="15" customHeight="1">
      <c r="B55" s="190" t="s">
        <v>406</v>
      </c>
      <c r="C55" s="190"/>
      <c r="D55" s="190"/>
      <c r="E55" s="190"/>
      <c r="F55" s="190"/>
      <c r="G55" s="190"/>
      <c r="H55" s="190"/>
      <c r="I55" s="190"/>
      <c r="J55" s="190"/>
    </row>
    <row r="56" ht="15" customHeight="1">
      <c r="B56" s="189"/>
      <c r="C56" s="189"/>
      <c r="D56" s="189"/>
      <c r="E56" s="189"/>
      <c r="F56" s="189"/>
      <c r="G56" s="189"/>
      <c r="H56" s="189"/>
      <c r="I56" s="189"/>
      <c r="J56" s="189"/>
    </row>
    <row r="57" ht="15" customHeight="1">
      <c r="B57" s="191" t="s">
        <v>12</v>
      </c>
      <c r="C57" s="191" t="s">
        <v>13</v>
      </c>
      <c r="D57" s="191" t="s">
        <v>401</v>
      </c>
      <c r="E57" s="191" t="s">
        <v>402</v>
      </c>
      <c r="F57" s="191" t="s">
        <v>403</v>
      </c>
      <c r="G57" s="189"/>
      <c r="H57" s="189"/>
      <c r="I57" s="189"/>
      <c r="J57" s="189"/>
    </row>
    <row r="58" ht="15" customHeight="1">
      <c r="B58" s="189" t="str">
        <f>'Bullish-Growth'!C8</f>
        <v>2026-27</v>
      </c>
      <c r="C58" s="211">
        <f>'Bullish-Growth'!C10</f>
        <v>200</v>
      </c>
      <c r="D58" s="212">
        <f>'Bullish-Growth'!C28</f>
        <v>7500000</v>
      </c>
      <c r="E58" s="212">
        <f>'Bullish-Growth'!C36</f>
        <v>752000</v>
      </c>
      <c r="F58" s="213">
        <f>'Bullish-Growth'!C37</f>
        <v>0.100266666666667</v>
      </c>
      <c r="G58" s="189"/>
      <c r="H58" s="189"/>
      <c r="I58" s="189"/>
      <c r="J58" s="189"/>
    </row>
    <row r="59" ht="15" customHeight="1">
      <c r="B59" s="189" t="str">
        <f>'Bullish-Growth'!D8</f>
        <v>2027-28</v>
      </c>
      <c r="C59" s="211">
        <f>'Bullish-Growth'!D10</f>
        <v>300</v>
      </c>
      <c r="D59" s="212">
        <f>'Bullish-Growth'!D28</f>
        <v>10981034.4827586</v>
      </c>
      <c r="E59" s="212">
        <f>'Bullish-Growth'!D36</f>
        <v>1649634.4827586</v>
      </c>
      <c r="F59" s="213">
        <f>'Bullish-Growth'!D37</f>
        <v>0.150225781127334</v>
      </c>
      <c r="G59" s="189"/>
      <c r="H59" s="189"/>
      <c r="I59" s="189"/>
      <c r="J59" s="189"/>
    </row>
    <row r="60" ht="15" customHeight="1">
      <c r="B60" s="189" t="str">
        <f>'Bullish-Growth'!E8</f>
        <v>2028-29</v>
      </c>
      <c r="C60" s="211">
        <f>'Bullish-Growth'!E10</f>
        <v>440</v>
      </c>
      <c r="D60" s="212">
        <f>'Bullish-Growth'!E28</f>
        <v>17838857.1428572</v>
      </c>
      <c r="E60" s="212">
        <f>'Bullish-Growth'!E36</f>
        <v>5151945.8525346</v>
      </c>
      <c r="F60" s="213">
        <f>'Bullish-Growth'!E37</f>
        <v>0.288804703758585</v>
      </c>
      <c r="G60" s="189"/>
      <c r="H60" s="189"/>
      <c r="I60" s="189"/>
      <c r="J60" s="189"/>
    </row>
    <row r="61" ht="15" customHeight="1">
      <c r="B61" s="189" t="str">
        <f>'Bullish-Growth'!F8</f>
        <v>2029-30</v>
      </c>
      <c r="C61" s="211">
        <f>'Bullish-Growth'!F10</f>
        <v>590</v>
      </c>
      <c r="D61" s="212">
        <f>'Bullish-Growth'!F28</f>
        <v>24218780.4878048</v>
      </c>
      <c r="E61" s="212">
        <f>'Bullish-Growth'!F36</f>
        <v>7894808.5283454</v>
      </c>
      <c r="F61" s="213">
        <f>'Bullish-Growth'!F37</f>
        <v>0.325978780489</v>
      </c>
      <c r="G61" s="189"/>
      <c r="H61" s="189"/>
      <c r="I61" s="189"/>
      <c r="J61" s="189"/>
    </row>
    <row r="62" ht="15" customHeight="1">
      <c r="B62" s="189" t="str">
        <f>'Bullish-Growth'!G8</f>
        <v>2030-31</v>
      </c>
      <c r="C62" s="211">
        <f>'Bullish-Growth'!G10</f>
        <v>750</v>
      </c>
      <c r="D62" s="212">
        <f>'Bullish-Growth'!G28</f>
        <v>32850000.0000001</v>
      </c>
      <c r="E62" s="212">
        <f>'Bullish-Growth'!G36</f>
        <v>9440459.3206522</v>
      </c>
      <c r="F62" s="213">
        <f>'Bullish-Growth'!G37</f>
        <v>0.287380801237509</v>
      </c>
      <c r="G62" s="189"/>
      <c r="H62" s="189"/>
      <c r="I62" s="189"/>
      <c r="J62" s="189"/>
    </row>
    <row r="63" ht="15" customHeight="1">
      <c r="B63" s="189" t="str">
        <f>'Bullish-Growth'!H8</f>
        <v>2031-32</v>
      </c>
      <c r="C63" s="211">
        <f>'Bullish-Growth'!H10</f>
        <v>920</v>
      </c>
      <c r="D63" s="212">
        <f>'Bullish-Growth'!H28</f>
        <v>42779999.9999999</v>
      </c>
      <c r="E63" s="212">
        <f>'Bullish-Growth'!H36</f>
        <v>12436436.2187499</v>
      </c>
      <c r="F63" s="213">
        <f>'Bullish-Growth'!H37</f>
        <v>0.290706783981999</v>
      </c>
      <c r="G63" s="189"/>
      <c r="H63" s="189"/>
      <c r="I63" s="189"/>
      <c r="J63" s="189"/>
    </row>
    <row r="64" ht="15" customHeight="1">
      <c r="B64" s="189" t="s">
        <v>404</v>
      </c>
      <c r="C64" s="189"/>
      <c r="D64" s="214">
        <f t="shared" si="4"/>
        <v>0.416563030459362</v>
      </c>
      <c r="E64" s="189"/>
      <c r="F64" s="189"/>
      <c r="G64" s="189"/>
      <c r="H64" s="189"/>
      <c r="I64" s="189"/>
      <c r="J64" s="189"/>
    </row>
    <row r="65" ht="15" customHeight="1">
      <c r="B65" s="189" t="s">
        <v>405</v>
      </c>
      <c r="C65" s="189"/>
      <c r="D65" s="189"/>
      <c r="E65" s="215">
        <f t="shared" si="5"/>
        <v>37325284.4030407</v>
      </c>
      <c r="F65" s="189"/>
      <c r="G65" s="189"/>
      <c r="H65" s="189"/>
      <c r="I65" s="189"/>
      <c r="J65" s="189"/>
    </row>
    <row r="66" ht="15" customHeight="1">
      <c r="B66" s="189"/>
      <c r="C66" s="189"/>
      <c r="D66" s="189"/>
      <c r="E66" s="189"/>
      <c r="F66" s="189"/>
      <c r="G66" s="189"/>
      <c r="H66" s="189"/>
      <c r="I66" s="189"/>
      <c r="J66" s="189"/>
    </row>
    <row r="67" ht="15" customHeight="1">
      <c r="B67" s="189"/>
      <c r="C67" s="189"/>
      <c r="D67" s="189"/>
      <c r="E67" s="189"/>
      <c r="F67" s="189"/>
      <c r="G67" s="189"/>
      <c r="H67" s="189"/>
      <c r="I67" s="189"/>
      <c r="J67" s="189"/>
    </row>
    <row r="68" ht="15" customHeight="1">
      <c r="B68" s="190" t="s">
        <v>442</v>
      </c>
      <c r="C68" s="190"/>
      <c r="D68" s="190"/>
      <c r="E68" s="190"/>
      <c r="F68" s="190"/>
      <c r="G68" s="190"/>
      <c r="H68" s="190"/>
      <c r="I68" s="190"/>
      <c r="J68" s="190"/>
    </row>
    <row r="69" ht="15" customHeight="1">
      <c r="B69" s="189"/>
      <c r="C69" s="189"/>
      <c r="D69" s="189"/>
      <c r="E69" s="189"/>
      <c r="F69" s="189"/>
      <c r="G69" s="189"/>
      <c r="H69" s="189"/>
      <c r="I69" s="189"/>
      <c r="J69" s="189"/>
    </row>
    <row r="70" ht="15" customHeight="1">
      <c r="B70" s="191" t="s">
        <v>12</v>
      </c>
      <c r="C70" s="191" t="s">
        <v>80</v>
      </c>
      <c r="D70" s="191" t="s">
        <v>408</v>
      </c>
      <c r="E70" s="191" t="s">
        <v>409</v>
      </c>
      <c r="F70" s="191" t="s">
        <v>410</v>
      </c>
      <c r="G70" s="189"/>
      <c r="H70" s="189"/>
      <c r="I70" s="189"/>
      <c r="J70" s="189"/>
    </row>
    <row r="71" ht="15" customHeight="1">
      <c r="B71" s="189" t="str">
        <f>'Moderate-Growth'!C8</f>
        <v>2026-27</v>
      </c>
      <c r="C71" s="212">
        <f>'Moderate-Growth'!C36</f>
        <v>752000</v>
      </c>
      <c r="D71" s="210">
        <f t="shared" si="6" ref="D71:F89">C71*$C$9</f>
        <v>75200</v>
      </c>
      <c r="E71" s="212">
        <f>'Bullish-Growth'!C36</f>
        <v>752000</v>
      </c>
      <c r="F71" s="210">
        <f t="shared" si="6"/>
        <v>75200</v>
      </c>
      <c r="G71" s="189"/>
      <c r="H71" s="189"/>
      <c r="I71" s="189"/>
      <c r="J71" s="189"/>
    </row>
    <row r="72" ht="15" customHeight="1">
      <c r="B72" s="189" t="str">
        <f>'Moderate-Growth'!D8</f>
        <v>2027-28</v>
      </c>
      <c r="C72" s="212">
        <f>'Moderate-Growth'!D36</f>
        <v>1101748.2758621</v>
      </c>
      <c r="D72" s="210">
        <f t="shared" si="6"/>
        <v>110174.82758621</v>
      </c>
      <c r="E72" s="212">
        <f>'Bullish-Growth'!D36</f>
        <v>1649634.4827586</v>
      </c>
      <c r="F72" s="210">
        <f t="shared" si="6"/>
        <v>164963.44827586</v>
      </c>
      <c r="G72" s="189"/>
      <c r="H72" s="189"/>
      <c r="I72" s="189"/>
      <c r="J72" s="189"/>
    </row>
    <row r="73" ht="15" customHeight="1">
      <c r="B73" s="189" t="str">
        <f>'Moderate-Growth'!E8</f>
        <v>2028-29</v>
      </c>
      <c r="C73" s="212">
        <f>'Moderate-Growth'!E36</f>
        <v>3543240.7834101</v>
      </c>
      <c r="D73" s="210">
        <f t="shared" si="6"/>
        <v>354324.07834101</v>
      </c>
      <c r="E73" s="212">
        <f>'Bullish-Growth'!E36</f>
        <v>5151945.8525346</v>
      </c>
      <c r="F73" s="210">
        <f t="shared" si="6"/>
        <v>515194.58525346</v>
      </c>
      <c r="G73" s="189"/>
      <c r="H73" s="189"/>
      <c r="I73" s="189"/>
      <c r="J73" s="189"/>
    </row>
    <row r="74" ht="15" customHeight="1">
      <c r="B74" s="189" t="str">
        <f>'Moderate-Growth'!F8</f>
        <v>2029-30</v>
      </c>
      <c r="C74" s="212">
        <f>'Moderate-Growth'!F36</f>
        <v>5461064.9555042</v>
      </c>
      <c r="D74" s="210">
        <f t="shared" si="6"/>
        <v>546106.49555042</v>
      </c>
      <c r="E74" s="212">
        <f>'Bullish-Growth'!F36</f>
        <v>7894808.5283454</v>
      </c>
      <c r="F74" s="210">
        <f t="shared" si="6"/>
        <v>789480.85283454</v>
      </c>
      <c r="G74" s="189"/>
      <c r="H74" s="189"/>
      <c r="I74" s="189"/>
      <c r="J74" s="189"/>
    </row>
    <row r="75" ht="15" customHeight="1">
      <c r="B75" s="189" t="str">
        <f>'Moderate-Growth'!G8</f>
        <v>2030-31</v>
      </c>
      <c r="C75" s="212">
        <f>'Moderate-Growth'!G36</f>
        <v>6070154.9728261</v>
      </c>
      <c r="D75" s="210">
        <f t="shared" si="6"/>
        <v>607015.49728261</v>
      </c>
      <c r="E75" s="212">
        <f>'Bullish-Growth'!G36</f>
        <v>9440459.3206522</v>
      </c>
      <c r="F75" s="210">
        <f t="shared" si="6"/>
        <v>944045.93206522</v>
      </c>
      <c r="G75" s="189"/>
      <c r="H75" s="189"/>
      <c r="I75" s="189"/>
      <c r="J75" s="189"/>
    </row>
    <row r="76" ht="15" customHeight="1">
      <c r="B76" s="189" t="str">
        <f>'Moderate-Growth'!H8</f>
        <v>2031-32</v>
      </c>
      <c r="C76" s="212">
        <f>'Moderate-Growth'!H36</f>
        <v>7297936.21875</v>
      </c>
      <c r="D76" s="210">
        <f t="shared" si="6"/>
        <v>729793.621875</v>
      </c>
      <c r="E76" s="212">
        <f>'Bullish-Growth'!H36</f>
        <v>12436436.2187499</v>
      </c>
      <c r="F76" s="210">
        <f t="shared" si="6"/>
        <v>1243643.62187499</v>
      </c>
      <c r="G76" s="189"/>
      <c r="H76" s="189"/>
      <c r="I76" s="189"/>
      <c r="J76" s="189"/>
    </row>
    <row r="77" ht="15" customHeight="1">
      <c r="B77" s="206" t="s">
        <v>411</v>
      </c>
      <c r="C77" s="208">
        <f t="shared" si="7" ref="C77:F77">SUM(C71:C76)</f>
        <v>24226145.2063525</v>
      </c>
      <c r="D77" s="208">
        <f t="shared" si="7"/>
        <v>2422614.52063525</v>
      </c>
      <c r="E77" s="208">
        <f t="shared" si="7"/>
        <v>37325284.4030407</v>
      </c>
      <c r="F77" s="208">
        <f t="shared" si="7"/>
        <v>3732528.44030407</v>
      </c>
      <c r="G77" s="189"/>
      <c r="H77" s="189"/>
      <c r="I77" s="189"/>
      <c r="J77" s="189"/>
    </row>
    <row r="78" ht="15" customHeight="1">
      <c r="B78" s="189"/>
      <c r="C78" s="189"/>
      <c r="D78" s="189"/>
      <c r="E78" s="189"/>
      <c r="F78" s="189"/>
      <c r="G78" s="189"/>
      <c r="H78" s="189"/>
      <c r="I78" s="189"/>
      <c r="J78" s="189"/>
    </row>
    <row r="79" ht="15" customHeight="1">
      <c r="B79" s="189"/>
      <c r="C79" s="189"/>
      <c r="D79" s="189"/>
      <c r="E79" s="189"/>
      <c r="F79" s="189"/>
      <c r="G79" s="189"/>
      <c r="H79" s="189"/>
      <c r="I79" s="189"/>
      <c r="J79" s="189"/>
    </row>
    <row r="80" ht="15" customHeight="1">
      <c r="B80" s="190" t="s">
        <v>412</v>
      </c>
      <c r="C80" s="190"/>
      <c r="D80" s="190"/>
      <c r="E80" s="190"/>
      <c r="F80" s="190"/>
      <c r="G80" s="190"/>
      <c r="H80" s="190"/>
      <c r="I80" s="190"/>
      <c r="J80" s="190"/>
    </row>
    <row r="81" ht="15" customHeight="1">
      <c r="B81" s="189"/>
      <c r="C81" s="189"/>
      <c r="D81" s="189"/>
      <c r="E81" s="189"/>
      <c r="F81" s="189"/>
      <c r="G81" s="189"/>
      <c r="H81" s="189"/>
      <c r="I81" s="189"/>
      <c r="J81" s="189"/>
    </row>
    <row r="82" ht="15" customHeight="1">
      <c r="B82" s="191" t="s">
        <v>127</v>
      </c>
      <c r="C82" s="191" t="s">
        <v>45</v>
      </c>
      <c r="D82" s="191" t="s">
        <v>413</v>
      </c>
      <c r="E82" s="191" t="s">
        <v>46</v>
      </c>
      <c r="F82" s="191" t="s">
        <v>47</v>
      </c>
      <c r="G82" s="191" t="s">
        <v>414</v>
      </c>
      <c r="H82" s="191" t="s">
        <v>131</v>
      </c>
      <c r="I82" s="191" t="s">
        <v>49</v>
      </c>
      <c r="J82" s="191" t="s">
        <v>50</v>
      </c>
    </row>
    <row r="83" ht="15" customHeight="1">
      <c r="B83" s="189" t="s">
        <v>141</v>
      </c>
      <c r="C83" s="216">
        <v>2</v>
      </c>
      <c r="D83" s="212">
        <f>'Moderate-Growth'!H28</f>
        <v>32782500.0000001</v>
      </c>
      <c r="E83" s="210">
        <f t="shared" si="8" ref="E83:E89">C83*D83</f>
        <v>65565000.0000002</v>
      </c>
      <c r="F83" s="210">
        <f t="shared" si="6"/>
        <v>6556500.00000002</v>
      </c>
      <c r="G83" s="210">
        <f t="shared" si="9" ref="G83:G85">$D$77</f>
        <v>2422614.52063525</v>
      </c>
      <c r="H83" s="210">
        <f t="shared" si="10" ref="H83:H89">F83+G83</f>
        <v>8979114.52063527</v>
      </c>
      <c r="I83" s="217">
        <f t="shared" si="11" ref="I83:I89">(H83-$C$10)/$C$10</f>
        <v>-0.401392365290982</v>
      </c>
      <c r="J83" s="218">
        <f t="shared" si="12" ref="J83:J89">H83/$C$10</f>
        <v>0.598607634709018</v>
      </c>
    </row>
    <row r="84" ht="15" customHeight="1">
      <c r="B84" s="189" t="s">
        <v>141</v>
      </c>
      <c r="C84" s="216">
        <v>3</v>
      </c>
      <c r="D84" s="212">
        <f>'Moderate-Growth'!H28</f>
        <v>32782500.0000001</v>
      </c>
      <c r="E84" s="210">
        <f t="shared" si="8"/>
        <v>98347500.0000003</v>
      </c>
      <c r="F84" s="210">
        <f t="shared" si="6"/>
        <v>9834750.00000003</v>
      </c>
      <c r="G84" s="210">
        <f t="shared" si="9"/>
        <v>2422614.52063525</v>
      </c>
      <c r="H84" s="210">
        <f t="shared" si="10"/>
        <v>12257364.5206353</v>
      </c>
      <c r="I84" s="217">
        <f t="shared" si="11"/>
        <v>-0.18284236529098</v>
      </c>
      <c r="J84" s="218">
        <f t="shared" si="12"/>
        <v>0.81715763470902</v>
      </c>
    </row>
    <row r="85" ht="15" customHeight="1">
      <c r="B85" s="189" t="s">
        <v>141</v>
      </c>
      <c r="C85" s="216">
        <v>5</v>
      </c>
      <c r="D85" s="212">
        <f>'Moderate-Growth'!H28</f>
        <v>32782500.0000001</v>
      </c>
      <c r="E85" s="210">
        <f t="shared" si="8"/>
        <v>163912500.000001</v>
      </c>
      <c r="F85" s="210">
        <f t="shared" si="6"/>
        <v>16391250.0000001</v>
      </c>
      <c r="G85" s="210">
        <f t="shared" si="9"/>
        <v>2422614.52063525</v>
      </c>
      <c r="H85" s="210">
        <f t="shared" si="10"/>
        <v>18813864.5206354</v>
      </c>
      <c r="I85" s="217">
        <f t="shared" si="11"/>
        <v>0.254257634709027</v>
      </c>
      <c r="J85" s="218">
        <f t="shared" si="12"/>
        <v>1.25425763470903</v>
      </c>
    </row>
    <row r="86" ht="15" customHeight="1">
      <c r="B86" s="189"/>
      <c r="C86" s="219"/>
      <c r="D86" s="210"/>
      <c r="E86" s="210"/>
      <c r="F86" s="210"/>
      <c r="G86" s="210"/>
      <c r="H86" s="210"/>
      <c r="I86" s="217"/>
      <c r="J86" s="218"/>
    </row>
    <row r="87" ht="15" customHeight="1">
      <c r="B87" s="189" t="s">
        <v>142</v>
      </c>
      <c r="C87" s="216">
        <v>2</v>
      </c>
      <c r="D87" s="212">
        <f>'Bullish-Growth'!H28</f>
        <v>42779999.9999999</v>
      </c>
      <c r="E87" s="210">
        <f t="shared" si="8"/>
        <v>85559999.9999998</v>
      </c>
      <c r="F87" s="210">
        <f t="shared" si="6"/>
        <v>8555999.99999998</v>
      </c>
      <c r="G87" s="210">
        <f t="shared" si="13" ref="G87:G89">$F$77</f>
        <v>3732528.44030407</v>
      </c>
      <c r="H87" s="210">
        <f t="shared" si="10"/>
        <v>12288528.440304</v>
      </c>
      <c r="I87" s="217">
        <f t="shared" si="11"/>
        <v>-0.1807647706464</v>
      </c>
      <c r="J87" s="218">
        <f t="shared" si="12"/>
        <v>0.8192352293536</v>
      </c>
    </row>
    <row r="88" ht="15" customHeight="1">
      <c r="B88" s="189" t="s">
        <v>142</v>
      </c>
      <c r="C88" s="216">
        <v>3</v>
      </c>
      <c r="D88" s="212">
        <f>'Bullish-Growth'!H28</f>
        <v>42779999.9999999</v>
      </c>
      <c r="E88" s="210">
        <f t="shared" si="8"/>
        <v>128340000</v>
      </c>
      <c r="F88" s="210">
        <f t="shared" si="6"/>
        <v>12834000</v>
      </c>
      <c r="G88" s="210">
        <f t="shared" si="13"/>
        <v>3732528.44030407</v>
      </c>
      <c r="H88" s="210">
        <f t="shared" si="10"/>
        <v>16566528.4403041</v>
      </c>
      <c r="I88" s="217">
        <f t="shared" si="11"/>
        <v>0.104435229353607</v>
      </c>
      <c r="J88" s="218">
        <f t="shared" si="12"/>
        <v>1.10443522935361</v>
      </c>
    </row>
    <row r="89" ht="15" customHeight="1">
      <c r="B89" s="189" t="s">
        <v>142</v>
      </c>
      <c r="C89" s="216">
        <v>5</v>
      </c>
      <c r="D89" s="212">
        <f>'Bullish-Growth'!H28</f>
        <v>42779999.9999999</v>
      </c>
      <c r="E89" s="210">
        <f t="shared" si="8"/>
        <v>213900000</v>
      </c>
      <c r="F89" s="210">
        <f t="shared" si="6"/>
        <v>21390000</v>
      </c>
      <c r="G89" s="210">
        <f t="shared" si="13"/>
        <v>3732528.44030407</v>
      </c>
      <c r="H89" s="210">
        <f t="shared" si="10"/>
        <v>25122528.4403041</v>
      </c>
      <c r="I89" s="217">
        <f t="shared" si="11"/>
        <v>0.674835229353607</v>
      </c>
      <c r="J89" s="218">
        <f t="shared" si="12"/>
        <v>1.67483522935361</v>
      </c>
    </row>
    <row r="90" ht="15" customHeight="1">
      <c r="B90" s="189"/>
      <c r="C90" s="189"/>
      <c r="D90" s="189"/>
      <c r="E90" s="189"/>
      <c r="F90" s="189"/>
      <c r="G90" s="189"/>
      <c r="H90" s="189"/>
      <c r="I90" s="189"/>
      <c r="J90" s="189"/>
    </row>
    <row r="91" ht="15" customHeight="1">
      <c r="B91" s="189"/>
      <c r="C91" s="189"/>
      <c r="D91" s="189"/>
      <c r="E91" s="189"/>
      <c r="F91" s="189"/>
      <c r="G91" s="189"/>
      <c r="H91" s="189"/>
      <c r="I91" s="189"/>
      <c r="J91" s="189"/>
    </row>
    <row r="92" ht="15" customHeight="1">
      <c r="B92" s="190" t="s">
        <v>415</v>
      </c>
      <c r="C92" s="190"/>
      <c r="D92" s="190"/>
      <c r="E92" s="190"/>
      <c r="F92" s="190"/>
      <c r="G92" s="190"/>
      <c r="H92" s="190"/>
      <c r="I92" s="190"/>
      <c r="J92" s="190"/>
    </row>
    <row r="93" ht="15" customHeight="1">
      <c r="B93" s="189"/>
      <c r="C93" s="189"/>
      <c r="D93" s="189"/>
      <c r="E93" s="189"/>
      <c r="F93" s="189"/>
      <c r="G93" s="189"/>
      <c r="H93" s="189"/>
      <c r="I93" s="189"/>
      <c r="J93" s="189"/>
    </row>
    <row r="94" ht="25.5" customHeight="1">
      <c r="B94" s="189">
        <v>1</v>
      </c>
      <c r="C94" s="220" t="s">
        <v>416</v>
      </c>
      <c r="D94" s="221" t="s">
        <v>417</v>
      </c>
      <c r="E94" s="189"/>
      <c r="F94" s="189"/>
      <c r="G94" s="189"/>
      <c r="H94" s="189"/>
      <c r="I94" s="189"/>
      <c r="J94" s="189"/>
    </row>
    <row r="95" ht="25.5" customHeight="1">
      <c r="B95" s="189">
        <v>2</v>
      </c>
      <c r="C95" s="220" t="s">
        <v>418</v>
      </c>
      <c r="D95" s="221" t="s">
        <v>419</v>
      </c>
      <c r="E95" s="189"/>
      <c r="F95" s="189"/>
      <c r="G95" s="189"/>
      <c r="H95" s="189"/>
      <c r="I95" s="189"/>
      <c r="J95" s="189"/>
    </row>
    <row r="96" ht="25.5" customHeight="1">
      <c r="B96" s="189">
        <v>3</v>
      </c>
      <c r="C96" s="220" t="s">
        <v>420</v>
      </c>
      <c r="D96" s="221" t="s">
        <v>421</v>
      </c>
      <c r="E96" s="189"/>
      <c r="F96" s="189"/>
      <c r="G96" s="189"/>
      <c r="H96" s="189"/>
      <c r="I96" s="189"/>
      <c r="J96" s="189"/>
    </row>
    <row r="97" ht="25.5" customHeight="1">
      <c r="B97" s="189">
        <v>4</v>
      </c>
      <c r="C97" s="220" t="s">
        <v>422</v>
      </c>
      <c r="D97" s="221" t="s">
        <v>423</v>
      </c>
      <c r="E97" s="189"/>
      <c r="F97" s="189"/>
      <c r="G97" s="189"/>
      <c r="H97" s="189"/>
      <c r="I97" s="189"/>
      <c r="J97" s="189"/>
    </row>
    <row r="98" ht="33" customHeight="1">
      <c r="B98" s="189">
        <v>5</v>
      </c>
      <c r="C98" s="220" t="s">
        <v>424</v>
      </c>
      <c r="D98" s="221" t="s">
        <v>425</v>
      </c>
      <c r="E98" s="189"/>
      <c r="F98" s="189"/>
      <c r="G98" s="189"/>
      <c r="H98" s="189"/>
      <c r="I98" s="189"/>
      <c r="J98" s="189"/>
    </row>
    <row r="99" ht="33" customHeight="1">
      <c r="B99" s="189">
        <v>6</v>
      </c>
      <c r="C99" s="220" t="s">
        <v>426</v>
      </c>
      <c r="D99" s="221" t="s">
        <v>427</v>
      </c>
      <c r="E99" s="189"/>
      <c r="F99" s="189"/>
      <c r="G99" s="189"/>
      <c r="H99" s="189"/>
      <c r="I99" s="189"/>
      <c r="J99" s="189"/>
    </row>
    <row r="100" ht="25.5" customHeight="1">
      <c r="B100" s="189"/>
      <c r="C100" s="189"/>
      <c r="D100" s="189"/>
      <c r="E100" s="189"/>
      <c r="F100" s="189"/>
      <c r="G100" s="189"/>
      <c r="H100" s="189"/>
      <c r="I100" s="189"/>
      <c r="J100" s="189"/>
    </row>
    <row r="101" ht="15" customHeight="1">
      <c r="B101" s="189"/>
      <c r="C101" s="189"/>
      <c r="D101" s="189"/>
      <c r="E101" s="189"/>
      <c r="F101" s="189"/>
      <c r="G101" s="189"/>
      <c r="H101" s="189"/>
      <c r="I101" s="189"/>
      <c r="J101" s="189"/>
    </row>
    <row r="102" ht="15" customHeight="1">
      <c r="B102" s="190" t="s">
        <v>428</v>
      </c>
      <c r="C102" s="190"/>
      <c r="D102" s="190"/>
      <c r="E102" s="190"/>
      <c r="F102" s="190"/>
      <c r="G102" s="190"/>
      <c r="H102" s="190"/>
      <c r="I102" s="190"/>
      <c r="J102" s="190"/>
    </row>
    <row r="103" ht="15" customHeight="1">
      <c r="B103" s="189"/>
      <c r="C103" s="189"/>
      <c r="D103" s="189"/>
      <c r="E103" s="189"/>
      <c r="F103" s="189"/>
      <c r="G103" s="189"/>
      <c r="H103" s="189"/>
      <c r="I103" s="189"/>
      <c r="J103" s="189"/>
    </row>
    <row r="104" ht="25.5" customHeight="1">
      <c r="B104" s="189">
        <v>1</v>
      </c>
      <c r="C104" s="220" t="s">
        <v>429</v>
      </c>
      <c r="D104" s="221" t="s">
        <v>430</v>
      </c>
      <c r="E104" s="189"/>
      <c r="F104" s="189"/>
      <c r="G104" s="189"/>
      <c r="H104" s="189"/>
      <c r="I104" s="189"/>
      <c r="J104" s="189"/>
    </row>
    <row r="105" ht="25.5" customHeight="1">
      <c r="B105" s="189">
        <v>2</v>
      </c>
      <c r="C105" s="220" t="s">
        <v>381</v>
      </c>
      <c r="D105" s="221" t="s">
        <v>431</v>
      </c>
      <c r="E105" s="189"/>
      <c r="F105" s="189"/>
      <c r="G105" s="189"/>
      <c r="H105" s="189"/>
      <c r="I105" s="189"/>
      <c r="J105" s="189"/>
    </row>
    <row r="106" ht="25.5" customHeight="1">
      <c r="B106" s="189">
        <v>3</v>
      </c>
      <c r="C106" s="220" t="s">
        <v>432</v>
      </c>
      <c r="D106" s="221" t="s">
        <v>433</v>
      </c>
      <c r="E106" s="189"/>
      <c r="F106" s="189"/>
      <c r="G106" s="189"/>
      <c r="H106" s="189"/>
      <c r="I106" s="189"/>
      <c r="J106" s="189"/>
    </row>
    <row r="107" ht="25.5" customHeight="1">
      <c r="B107" s="189">
        <v>4</v>
      </c>
      <c r="C107" s="220" t="s">
        <v>434</v>
      </c>
      <c r="D107" s="221" t="s">
        <v>435</v>
      </c>
      <c r="E107" s="189"/>
      <c r="F107" s="189"/>
      <c r="G107" s="189"/>
      <c r="H107" s="189"/>
      <c r="I107" s="189"/>
      <c r="J107" s="189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Company>Shortcut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2026-04-07T05:39:09Z</dcterms:created>
  <dc:creator>Shortcut</dc:creator>
  <cp:lastModifiedBy>Shortcut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81fb35a9-a422-4b38-b813-798a3f5dd0e8</vt:lpwstr>
  </property>
</Properties>
</file>