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 Proposal" sheetId="1" state="visible" r:id="rId1"/>
    <sheet name="Scope of Work" sheetId="2" state="visible" r:id="rId2"/>
    <sheet name="Placement Fee Calculator" sheetId="3" state="visible" r:id="rId3"/>
    <sheet name="Terms &amp; Exclusions" sheetId="4" state="visible" r:id="rId4"/>
  </sheets>
  <definedNames/>
  <calcPr calcId="124519" fullCalcOnLoad="1"/>
</workbook>
</file>

<file path=xl/styles.xml><?xml version="1.0" encoding="utf-8"?>
<styleSheet xmlns="http://schemas.openxmlformats.org/spreadsheetml/2006/main">
  <numFmts count="4">
    <numFmt numFmtId="164" formatCode="₹#,##0;(₹#,##0);-"/>
    <numFmt numFmtId="165" formatCode="0.00%;(0.00%);-"/>
    <numFmt numFmtId="166" formatCode="0.0"/>
    <numFmt numFmtId="167" formatCode="0.0%;(0.0%);-"/>
  </numFmts>
  <fonts count="9">
    <font>
      <name val="Calibri"/>
      <family val="2"/>
      <color theme="1"/>
      <sz val="11"/>
      <scheme val="minor"/>
    </font>
    <font>
      <name val="Arial"/>
      <b val="1"/>
      <color rgb="001F3864"/>
      <sz val="16"/>
    </font>
    <font>
      <name val="Arial"/>
      <i val="1"/>
      <color rgb="00595959"/>
      <sz val="10"/>
    </font>
    <font>
      <name val="Arial"/>
      <b val="1"/>
      <color rgb="00FFFFFF"/>
      <sz val="11"/>
    </font>
    <font>
      <name val="Arial"/>
      <b val="1"/>
      <sz val="10"/>
    </font>
    <font>
      <name val="Arial"/>
      <sz val="10"/>
    </font>
    <font>
      <name val="Arial"/>
      <i val="1"/>
      <sz val="10"/>
    </font>
    <font>
      <name val="Arial"/>
      <i val="1"/>
      <color rgb="00595959"/>
      <sz val="9"/>
    </font>
    <font>
      <name val="Arial"/>
      <color rgb="000000FF"/>
      <sz val="10"/>
    </font>
  </fonts>
  <fills count="6">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wrapText="1"/>
    </xf>
    <xf numFmtId="0" fontId="4" fillId="0" borderId="1" applyAlignment="1" pivotButton="0" quotePrefix="0" xfId="0">
      <alignment vertical="top" wrapText="1"/>
    </xf>
    <xf numFmtId="0" fontId="5" fillId="0" borderId="1" applyAlignment="1" pivotButton="0" quotePrefix="0" xfId="0">
      <alignment vertical="top" wrapText="1"/>
    </xf>
    <xf numFmtId="164" fontId="4" fillId="0" borderId="1" applyAlignment="1" pivotButton="0" quotePrefix="0" xfId="0">
      <alignment vertical="top" wrapText="1"/>
    </xf>
    <xf numFmtId="0" fontId="6" fillId="0" borderId="1" applyAlignment="1" pivotButton="0" quotePrefix="0" xfId="0">
      <alignment horizontal="center" vertical="top" wrapText="1"/>
    </xf>
    <xf numFmtId="0" fontId="4" fillId="4" borderId="1" applyAlignment="1" pivotButton="0" quotePrefix="0" xfId="0">
      <alignment vertical="top" wrapText="1"/>
    </xf>
    <xf numFmtId="0" fontId="0" fillId="0" borderId="1" applyAlignment="1" pivotButton="0" quotePrefix="0" xfId="0">
      <alignment vertical="top" wrapText="1"/>
    </xf>
    <xf numFmtId="0" fontId="7" fillId="0" borderId="1" applyAlignment="1" pivotButton="0" quotePrefix="0" xfId="0">
      <alignment vertical="top" wrapText="1"/>
    </xf>
    <xf numFmtId="0" fontId="4" fillId="3" borderId="0" pivotButton="0" quotePrefix="0" xfId="0"/>
    <xf numFmtId="0" fontId="0" fillId="3" borderId="0" pivotButton="0" quotePrefix="0" xfId="0"/>
    <xf numFmtId="0" fontId="5" fillId="0" borderId="0" applyAlignment="1" pivotButton="0" quotePrefix="0" xfId="0">
      <alignment vertical="top" wrapText="1"/>
    </xf>
    <xf numFmtId="0" fontId="4" fillId="0" borderId="1" applyAlignment="1" pivotButton="0" quotePrefix="0" xfId="0">
      <alignment horizontal="center" vertical="top" wrapText="1"/>
    </xf>
    <xf numFmtId="0" fontId="7" fillId="4" borderId="0" applyAlignment="1" pivotButton="0" quotePrefix="0" xfId="0">
      <alignment vertical="top" wrapText="1"/>
    </xf>
    <xf numFmtId="0" fontId="5" fillId="0" borderId="1" pivotButton="0" quotePrefix="0" xfId="0"/>
    <xf numFmtId="164" fontId="8" fillId="5" borderId="1" pivotButton="0" quotePrefix="0" xfId="0"/>
    <xf numFmtId="165" fontId="8" fillId="5" borderId="1" pivotButton="0" quotePrefix="0" xfId="0"/>
    <xf numFmtId="0" fontId="4" fillId="3" borderId="1" pivotButton="0" quotePrefix="0" xfId="0"/>
    <xf numFmtId="164" fontId="8" fillId="5" borderId="1" applyAlignment="1" pivotButton="0" quotePrefix="0" xfId="0">
      <alignment horizontal="center"/>
    </xf>
    <xf numFmtId="166" fontId="5" fillId="0" borderId="1" applyAlignment="1" pivotButton="0" quotePrefix="0" xfId="0">
      <alignment horizontal="center"/>
    </xf>
    <xf numFmtId="0" fontId="4" fillId="4" borderId="1" pivotButton="0" quotePrefix="0" xfId="0"/>
    <xf numFmtId="165" fontId="4" fillId="4" borderId="1" applyAlignment="1" pivotButton="0" quotePrefix="0" xfId="0">
      <alignment horizontal="center"/>
    </xf>
    <xf numFmtId="0" fontId="4" fillId="3" borderId="1" applyAlignment="1" pivotButton="0" quotePrefix="0" xfId="0">
      <alignment wrapText="1"/>
    </xf>
    <xf numFmtId="164" fontId="4" fillId="3" borderId="1" applyAlignment="1" pivotButton="0" quotePrefix="0" xfId="0">
      <alignment horizontal="center"/>
    </xf>
    <xf numFmtId="164" fontId="5" fillId="0" borderId="1" pivotButton="0" quotePrefix="0" xfId="0"/>
    <xf numFmtId="164" fontId="4" fillId="0" borderId="1" pivotButton="0" quotePrefix="0" xfId="0"/>
    <xf numFmtId="167" fontId="5" fillId="0" borderId="1"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9"/>
  <sheetViews>
    <sheetView showGridLines="0" workbookViewId="0">
      <selection activeCell="A1" sqref="A1"/>
    </sheetView>
  </sheetViews>
  <sheetFormatPr baseColWidth="8" defaultRowHeight="15" outlineLevelCol="0"/>
  <cols>
    <col width="3" customWidth="1" min="1" max="1"/>
    <col width="46" customWidth="1" min="2" max="2"/>
    <col width="22" customWidth="1" min="3" max="3"/>
    <col width="22" customWidth="1" min="4" max="4"/>
    <col width="34" customWidth="1" min="5" max="5"/>
  </cols>
  <sheetData>
    <row r="2">
      <c r="B2" s="1" t="inlineStr">
        <is>
          <t>ASTRAL SCHOOL — FUNDRAISING ADVISORY</t>
        </is>
      </c>
    </row>
    <row r="3">
      <c r="B3" s="2" t="inlineStr">
        <is>
          <t>Fee Proposal &amp; Cost Break-up  |  Excelerate Learning Foundation, Nashik</t>
        </is>
      </c>
    </row>
    <row r="4">
      <c r="B4" s="2" t="inlineStr">
        <is>
          <t>Prepared for: The Management  |  Proposed raise: ₹2,00,00,000</t>
        </is>
      </c>
    </row>
    <row r="6">
      <c r="B6" s="3" t="inlineStr">
        <is>
          <t>SUMMARY OF FEES</t>
        </is>
      </c>
      <c r="C6" s="3" t="n"/>
      <c r="D6" s="3" t="n"/>
      <c r="E6" s="3" t="n"/>
    </row>
    <row r="7">
      <c r="B7" s="4" t="inlineStr">
        <is>
          <t>Component</t>
        </is>
      </c>
      <c r="C7" s="4" t="inlineStr">
        <is>
          <t>Basis</t>
        </is>
      </c>
      <c r="D7" s="4" t="inlineStr">
        <is>
          <t>Amount</t>
        </is>
      </c>
      <c r="E7" s="4" t="inlineStr">
        <is>
          <t>When payable</t>
        </is>
      </c>
    </row>
    <row r="8" ht="30" customHeight="1">
      <c r="B8" s="5" t="inlineStr">
        <is>
          <t>Stage 1 — Engagement fee</t>
        </is>
      </c>
      <c r="C8" s="6" t="inlineStr">
        <is>
          <t>One-time flat fee</t>
        </is>
      </c>
      <c r="D8" s="7" t="n">
        <v>75000</v>
      </c>
      <c r="E8" s="6" t="inlineStr">
        <is>
          <t>50% on signing, 50% on delivery of the valuation report</t>
        </is>
      </c>
    </row>
    <row r="9" ht="30" customHeight="1">
      <c r="B9" s="5" t="inlineStr">
        <is>
          <t>Stage 2 — Placement fee</t>
        </is>
      </c>
      <c r="C9" s="6" t="inlineStr">
        <is>
          <t>0.08% per ₹10,00,000 of stake placed</t>
        </is>
      </c>
      <c r="D9" s="8" t="inlineStr">
        <is>
          <t>See calculator</t>
        </is>
      </c>
      <c r="E9" s="6" t="inlineStr">
        <is>
          <t>On receipt of subscription monies</t>
        </is>
      </c>
    </row>
    <row r="11">
      <c r="B11" s="3" t="inlineStr">
        <is>
          <t>PLACEMENT FEE — THE MANAGEMENT MAY ELECT EITHER FORM</t>
        </is>
      </c>
      <c r="C11" s="3" t="n"/>
      <c r="D11" s="3" t="n"/>
      <c r="E11" s="3" t="n"/>
    </row>
    <row r="12" ht="32" customHeight="1">
      <c r="B12" s="9" t="inlineStr">
        <is>
          <t>Option A — Equity</t>
        </is>
      </c>
      <c r="C12" s="6" t="inlineStr">
        <is>
          <t>0.08% of the issued share capital for every ₹10,00,000 of stake placed.</t>
        </is>
      </c>
      <c r="D12" s="10" t="n"/>
      <c r="E12" s="11" t="inlineStr">
        <is>
          <t>Independent of the valuation adopted. On a ₹2,00,00,000 raise this totals 1.60%.</t>
        </is>
      </c>
    </row>
    <row r="13" ht="32" customHeight="1">
      <c r="B13" s="9" t="inlineStr">
        <is>
          <t>Option B — Cash</t>
        </is>
      </c>
      <c r="C13" s="6" t="inlineStr">
        <is>
          <t>The rupee equivalent of that 0.08%, at the valuation finally adopted.</t>
        </is>
      </c>
      <c r="D13" s="10" t="n"/>
      <c r="E13" s="11" t="inlineStr">
        <is>
          <t>Example: at a ₹5,00,00,000 valuation, ₹40,000 per ₹10,00,000 placed.</t>
        </is>
      </c>
    </row>
    <row r="15">
      <c r="B15" s="12" t="inlineStr">
        <is>
          <t>KEY POINTS</t>
        </is>
      </c>
      <c r="C15" s="13" t="n"/>
      <c r="D15" s="13" t="n"/>
      <c r="E15" s="13" t="n"/>
    </row>
    <row r="16" ht="26" customHeight="1">
      <c r="B16" s="14" t="inlineStr">
        <is>
          <t>•  The placement fee is charged only on investors introduced by the Adviser. No fee is payable on any investor introduced by the Management.</t>
        </is>
      </c>
    </row>
    <row r="17" ht="26" customHeight="1">
      <c r="B17" s="14" t="inlineStr">
        <is>
          <t>•  The engagement fee is not contingent on the valuation concluded, so that the valuation opinion remains independent.</t>
        </is>
      </c>
    </row>
    <row r="18" ht="26" customHeight="1">
      <c r="B18" s="14" t="inlineStr">
        <is>
          <t>•  Third-party professional costs (registered valuer, company secretary, legal, filing fees) are billed by those parties directly to the Company and do not form part of the Adviser’s fees.</t>
        </is>
      </c>
    </row>
    <row r="19" ht="26" customHeight="1">
      <c r="B19" s="14" t="inlineStr">
        <is>
          <t>•  All fees are exclusive of GST, which will be charged as applicable. Tax deductible at source under Section 194J may be withheld by the Company.</t>
        </is>
      </c>
    </row>
  </sheetData>
  <mergeCells count="6">
    <mergeCell ref="C12:D12"/>
    <mergeCell ref="B18:E18"/>
    <mergeCell ref="B17:E17"/>
    <mergeCell ref="B16:E16"/>
    <mergeCell ref="C13:D13"/>
    <mergeCell ref="B19:E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19"/>
  <sheetViews>
    <sheetView showGridLines="0" workbookViewId="0">
      <selection activeCell="A1" sqref="A1"/>
    </sheetView>
  </sheetViews>
  <sheetFormatPr baseColWidth="8" defaultRowHeight="15" outlineLevelCol="0"/>
  <cols>
    <col width="3" customWidth="1" min="1" max="1"/>
    <col width="8" customWidth="1" min="2" max="2"/>
    <col width="54" customWidth="1" min="3" max="3"/>
    <col width="44" customWidth="1" min="4" max="4"/>
  </cols>
  <sheetData>
    <row r="2">
      <c r="B2" s="1" t="inlineStr">
        <is>
          <t>SCOPE OF WORK</t>
        </is>
      </c>
    </row>
    <row r="3">
      <c r="B3" s="2" t="inlineStr">
        <is>
          <t>What each fee covers</t>
        </is>
      </c>
    </row>
    <row r="5">
      <c r="B5" s="3" t="inlineStr">
        <is>
          <t>STAGE 1 — COVERED BY THE ₹75,000 ENGAGEMENT FEE</t>
        </is>
      </c>
      <c r="C5" s="3" t="n"/>
      <c r="D5" s="3" t="n"/>
    </row>
    <row r="6" ht="34" customHeight="1">
      <c r="B6" s="15" t="inlineStr">
        <is>
          <t>1</t>
        </is>
      </c>
      <c r="C6" s="6" t="inlineStr">
        <is>
          <t>Review of existing valuation report and projections</t>
        </is>
      </c>
      <c r="D6" s="11" t="inlineStr">
        <is>
          <t>Written findings memorandum on methodology, assumptions and arithmetic</t>
        </is>
      </c>
    </row>
    <row r="7" ht="34" customHeight="1">
      <c r="B7" s="15" t="inlineStr">
        <is>
          <t>2</t>
        </is>
      </c>
      <c r="C7" s="6" t="inlineStr">
        <is>
          <t>Rebuilt financial model from audited FY 2025-26 accounts</t>
        </is>
      </c>
      <c r="D7" s="11" t="inlineStr">
        <is>
          <t>Five-year model, three scenarios, reconciled to the audited financials</t>
        </is>
      </c>
    </row>
    <row r="8" ht="34" customHeight="1">
      <c r="B8" s="15" t="inlineStr">
        <is>
          <t>3</t>
        </is>
      </c>
      <c r="C8" s="6" t="inlineStr">
        <is>
          <t>Independent valuation of the school</t>
        </is>
      </c>
      <c r="D8" s="11" t="inlineStr">
        <is>
          <t>Multiple methods triangulated; a defensible valuation range with workings</t>
        </is>
      </c>
    </row>
    <row r="9" ht="34" customHeight="1">
      <c r="B9" s="15" t="inlineStr">
        <is>
          <t>4</t>
        </is>
      </c>
      <c r="C9" s="6" t="inlineStr">
        <is>
          <t>Structure and instrument options memorandum</t>
        </is>
      </c>
      <c r="D9" s="11" t="inlineStr">
        <is>
          <t>Assessment of how the raise can lawfully be structured; identifies where third-party legal or secretarial opinion is required</t>
        </is>
      </c>
    </row>
    <row r="10" ht="34" customHeight="1">
      <c r="B10" s="15" t="inlineStr">
        <is>
          <t>5</t>
        </is>
      </c>
      <c r="C10" s="6" t="inlineStr">
        <is>
          <t>Fundraise readiness assessment</t>
        </is>
      </c>
      <c r="D10" s="11" t="inlineStr">
        <is>
          <t>Recommended raise size, instrument, dilution impact and indicative terms</t>
        </is>
      </c>
    </row>
    <row r="12">
      <c r="B12" s="3" t="inlineStr">
        <is>
          <t>STAGE 2 — COVERED BY THE PLACEMENT FEE</t>
        </is>
      </c>
      <c r="C12" s="3" t="n"/>
      <c r="D12" s="3" t="n"/>
    </row>
    <row r="13" ht="28" customHeight="1">
      <c r="B13" s="15" t="inlineStr">
        <is>
          <t>6</t>
        </is>
      </c>
      <c r="C13" s="6" t="inlineStr">
        <is>
          <t>Information memorandum for prospective investors</t>
        </is>
      </c>
      <c r="D13" s="11" t="inlineStr">
        <is>
          <t>Investor-ready document built on the rebuilt model</t>
        </is>
      </c>
    </row>
    <row r="14" ht="28" customHeight="1">
      <c r="B14" s="15" t="inlineStr">
        <is>
          <t>7</t>
        </is>
      </c>
      <c r="C14" s="6" t="inlineStr">
        <is>
          <t>Investor presentation and one-page teaser</t>
        </is>
      </c>
      <c r="D14" s="11" t="inlineStr">
        <is>
          <t>Materials for circulation and meetings</t>
        </is>
      </c>
    </row>
    <row r="15" ht="28" customHeight="1">
      <c r="B15" s="15" t="inlineStr">
        <is>
          <t>8</t>
        </is>
      </c>
      <c r="C15" s="6" t="inlineStr">
        <is>
          <t>Capitalisation table and dilution model</t>
        </is>
      </c>
      <c r="D15" s="11" t="inlineStr">
        <is>
          <t>Pre- and post-money positions at each tranche</t>
        </is>
      </c>
    </row>
    <row r="16" ht="28" customHeight="1">
      <c r="B16" s="15" t="inlineStr">
        <is>
          <t>9</t>
        </is>
      </c>
      <c r="C16" s="6" t="inlineStr">
        <is>
          <t>Investor identification and introductions</t>
        </is>
      </c>
      <c r="D16" s="11" t="inlineStr">
        <is>
          <t>Outreach to prospective investors</t>
        </is>
      </c>
    </row>
    <row r="17" ht="28" customHeight="1">
      <c r="B17" s="15" t="inlineStr">
        <is>
          <t>10</t>
        </is>
      </c>
      <c r="C17" s="6" t="inlineStr">
        <is>
          <t>Process management through to closing</t>
        </is>
      </c>
      <c r="D17" s="11" t="inlineStr">
        <is>
          <t>Co-ordination of queries, documentation support and closing logistics</t>
        </is>
      </c>
    </row>
    <row r="19" ht="30" customHeight="1">
      <c r="B19" s="16" t="inlineStr">
        <is>
          <t>Note: Stage 2 deliverables are provided at no fixed cost. The Adviser is compensated only if and to the extent that funds are actually raised from investors the Adviser introduces.</t>
        </is>
      </c>
    </row>
  </sheetData>
  <mergeCells count="1">
    <mergeCell ref="B19:D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36"/>
  <sheetViews>
    <sheetView showGridLines="0" workbookViewId="0">
      <selection activeCell="A1" sqref="A1"/>
    </sheetView>
  </sheetViews>
  <sheetFormatPr baseColWidth="8" defaultRowHeight="15" outlineLevelCol="0"/>
  <cols>
    <col width="3" customWidth="1" min="1" max="1"/>
    <col width="34" customWidth="1" min="2" max="2"/>
    <col width="17" customWidth="1" min="3" max="3"/>
    <col width="17" customWidth="1" min="4" max="4"/>
    <col width="17" customWidth="1" min="5" max="5"/>
    <col width="17" customWidth="1" min="6" max="6"/>
    <col width="17" customWidth="1" min="7" max="7"/>
  </cols>
  <sheetData>
    <row r="2">
      <c r="B2" s="1" t="inlineStr">
        <is>
          <t>PLACEMENT FEE CALCULATOR</t>
        </is>
      </c>
    </row>
    <row r="3">
      <c r="B3" s="2" t="inlineStr">
        <is>
          <t>Blue cells are inputs. All other figures are formulas and update automatically.</t>
        </is>
      </c>
    </row>
    <row r="5">
      <c r="B5" s="3" t="inlineStr">
        <is>
          <t>INPUTS</t>
        </is>
      </c>
      <c r="C5" s="3" t="n"/>
    </row>
    <row r="6">
      <c r="B6" s="17" t="inlineStr">
        <is>
          <t>Block size</t>
        </is>
      </c>
      <c r="C6" s="18" t="n">
        <v>1000000</v>
      </c>
    </row>
    <row r="7">
      <c r="B7" s="17" t="inlineStr">
        <is>
          <t>Equity per block</t>
        </is>
      </c>
      <c r="C7" s="19" t="n">
        <v>0.0008</v>
      </c>
    </row>
    <row r="8">
      <c r="B8" s="17" t="inlineStr">
        <is>
          <t>Engagement fee (flat)</t>
        </is>
      </c>
      <c r="C8" s="18" t="n">
        <v>75000</v>
      </c>
    </row>
    <row r="10">
      <c r="B10" s="3" t="inlineStr">
        <is>
          <t>OPTION A — EQUITY RECEIVED  (does not vary with valuation)</t>
        </is>
      </c>
      <c r="C10" s="3" t="n"/>
      <c r="D10" s="3" t="n"/>
      <c r="E10" s="3" t="n"/>
      <c r="F10" s="3" t="n"/>
    </row>
    <row r="11">
      <c r="B11" s="20" t="inlineStr">
        <is>
          <t>Amount placed by Adviser</t>
        </is>
      </c>
      <c r="C11" s="21" t="n">
        <v>5000000</v>
      </c>
      <c r="D11" s="21" t="n">
        <v>10000000</v>
      </c>
      <c r="E11" s="21" t="n">
        <v>15000000</v>
      </c>
      <c r="F11" s="21" t="n">
        <v>20000000</v>
      </c>
    </row>
    <row r="12">
      <c r="B12" s="17" t="inlineStr">
        <is>
          <t>Number of ₹10 lakh blocks</t>
        </is>
      </c>
      <c r="C12" s="22">
        <f>C11/$C$6</f>
        <v>5</v>
      </c>
      <c r="D12" s="22">
        <f>D11/$C$6</f>
        <v>10</v>
      </c>
      <c r="E12" s="22">
        <f>E11/$C$6</f>
        <v>15</v>
      </c>
      <c r="F12" s="22">
        <f>F11/$C$6</f>
        <v>20</v>
      </c>
    </row>
    <row r="13">
      <c r="B13" s="23" t="inlineStr">
        <is>
          <t>Equity to Adviser (% of company)</t>
        </is>
      </c>
      <c r="C13" s="24">
        <f>C12*$C$7</f>
        <v>0.004</v>
      </c>
      <c r="D13" s="24">
        <f>D12*$C$7</f>
        <v>0.008</v>
      </c>
      <c r="E13" s="24">
        <f>E12*$C$7</f>
        <v>0.012</v>
      </c>
      <c r="F13" s="24">
        <f>F12*$C$7</f>
        <v>0.016</v>
      </c>
    </row>
    <row r="15">
      <c r="B15" s="3" t="inlineStr">
        <is>
          <t>OPTION B — CASH EQUIVALENT OF THE SAME 0.08% PER BLOCK</t>
        </is>
      </c>
      <c r="C15" s="3" t="n"/>
      <c r="D15" s="3" t="n"/>
      <c r="E15" s="3" t="n"/>
      <c r="F15" s="3" t="n"/>
    </row>
    <row r="16">
      <c r="B16" s="25" t="inlineStr">
        <is>
          <t>Valuation adopted  ↓     Amount placed  →</t>
        </is>
      </c>
      <c r="C16" s="26">
        <f>C11</f>
        <v>5000000</v>
      </c>
      <c r="D16" s="26">
        <f>D11</f>
        <v>10000000</v>
      </c>
      <c r="E16" s="26">
        <f>E11</f>
        <v>15000000</v>
      </c>
      <c r="F16" s="26">
        <f>F11</f>
        <v>20000000</v>
      </c>
    </row>
    <row r="17">
      <c r="B17" s="18" t="n">
        <v>30000000</v>
      </c>
      <c r="C17" s="27">
        <f>($B17*$C$7)*C$12</f>
        <v>120000</v>
      </c>
      <c r="D17" s="27">
        <f>($B17*$C$7)*D$12</f>
        <v>240000</v>
      </c>
      <c r="E17" s="27">
        <f>($B17*$C$7)*E$12</f>
        <v>360000</v>
      </c>
      <c r="F17" s="27">
        <f>($B17*$C$7)*F$12</f>
        <v>480000</v>
      </c>
    </row>
    <row r="18">
      <c r="B18" s="18" t="n">
        <v>40000000</v>
      </c>
      <c r="C18" s="27">
        <f>($B18*$C$7)*C$12</f>
        <v>160000</v>
      </c>
      <c r="D18" s="27">
        <f>($B18*$C$7)*D$12</f>
        <v>320000</v>
      </c>
      <c r="E18" s="27">
        <f>($B18*$C$7)*E$12</f>
        <v>480000</v>
      </c>
      <c r="F18" s="27">
        <f>($B18*$C$7)*F$12</f>
        <v>640000</v>
      </c>
    </row>
    <row r="19">
      <c r="B19" s="18" t="n">
        <v>50000000</v>
      </c>
      <c r="C19" s="27">
        <f>($B19*$C$7)*C$12</f>
        <v>200000</v>
      </c>
      <c r="D19" s="27">
        <f>($B19*$C$7)*D$12</f>
        <v>400000</v>
      </c>
      <c r="E19" s="27">
        <f>($B19*$C$7)*E$12</f>
        <v>600000</v>
      </c>
      <c r="F19" s="27">
        <f>($B19*$C$7)*F$12</f>
        <v>800000</v>
      </c>
    </row>
    <row r="20">
      <c r="B20" s="18" t="n">
        <v>70000000</v>
      </c>
      <c r="C20" s="27">
        <f>($B20*$C$7)*C$12</f>
        <v>280000</v>
      </c>
      <c r="D20" s="27">
        <f>($B20*$C$7)*D$12</f>
        <v>560000</v>
      </c>
      <c r="E20" s="27">
        <f>($B20*$C$7)*E$12</f>
        <v>840000</v>
      </c>
      <c r="F20" s="27">
        <f>($B20*$C$7)*F$12</f>
        <v>1120000</v>
      </c>
    </row>
    <row r="21">
      <c r="B21" s="18" t="n">
        <v>100000000</v>
      </c>
      <c r="C21" s="27">
        <f>($B21*$C$7)*C$12</f>
        <v>400000</v>
      </c>
      <c r="D21" s="27">
        <f>($B21*$C$7)*D$12</f>
        <v>800000</v>
      </c>
      <c r="E21" s="27">
        <f>($B21*$C$7)*E$12</f>
        <v>1200000</v>
      </c>
      <c r="F21" s="27">
        <f>($B21*$C$7)*F$12</f>
        <v>1600000</v>
      </c>
    </row>
    <row r="22">
      <c r="B22" s="18" t="n">
        <v>150000000</v>
      </c>
      <c r="C22" s="27">
        <f>($B22*$C$7)*C$12</f>
        <v>600000</v>
      </c>
      <c r="D22" s="27">
        <f>($B22*$C$7)*D$12</f>
        <v>1200000</v>
      </c>
      <c r="E22" s="27">
        <f>($B22*$C$7)*E$12</f>
        <v>1800000</v>
      </c>
      <c r="F22" s="27">
        <f>($B22*$C$7)*F$12</f>
        <v>2400000</v>
      </c>
    </row>
    <row r="24">
      <c r="B24" s="3" t="inlineStr">
        <is>
          <t>TOTAL COST TO THE COMPANY — ₹2,00,00,000 RAISED IN FULL BY THE ADVISER</t>
        </is>
      </c>
      <c r="C24" s="3" t="n"/>
      <c r="D24" s="3" t="n"/>
      <c r="E24" s="3" t="n"/>
      <c r="F24" s="3" t="n"/>
    </row>
    <row r="25">
      <c r="B25" s="4" t="inlineStr">
        <is>
          <t>Valuation adopted</t>
        </is>
      </c>
      <c r="C25" s="4" t="inlineStr">
        <is>
          <t>Engagement fee</t>
        </is>
      </c>
      <c r="D25" s="4" t="inlineStr">
        <is>
          <t>Placement fee (cash)</t>
        </is>
      </c>
      <c r="E25" s="4" t="inlineStr">
        <is>
          <t>Total adviser cost</t>
        </is>
      </c>
      <c r="F25" s="4" t="inlineStr">
        <is>
          <t>As % of ₹2 Cr raised</t>
        </is>
      </c>
    </row>
    <row r="26">
      <c r="B26" s="27">
        <f>$B$17</f>
        <v>30000000</v>
      </c>
      <c r="C26" s="27">
        <f>$C$8</f>
        <v>75000</v>
      </c>
      <c r="D26" s="27">
        <f>$F$17</f>
        <v>480000</v>
      </c>
      <c r="E26" s="28">
        <f>C26+D26</f>
        <v>555000</v>
      </c>
      <c r="F26" s="29">
        <f>IF($F$11=0,0,E26/$F$11)</f>
        <v>0.02775</v>
      </c>
    </row>
    <row r="27">
      <c r="B27" s="27">
        <f>$B$18</f>
        <v>40000000</v>
      </c>
      <c r="C27" s="27">
        <f>$C$8</f>
        <v>75000</v>
      </c>
      <c r="D27" s="27">
        <f>$F$18</f>
        <v>640000</v>
      </c>
      <c r="E27" s="28">
        <f>C27+D27</f>
        <v>715000</v>
      </c>
      <c r="F27" s="29">
        <f>IF($F$11=0,0,E27/$F$11)</f>
        <v>0.03575</v>
      </c>
    </row>
    <row r="28">
      <c r="B28" s="27">
        <f>$B$19</f>
        <v>50000000</v>
      </c>
      <c r="C28" s="27">
        <f>$C$8</f>
        <v>75000</v>
      </c>
      <c r="D28" s="27">
        <f>$F$19</f>
        <v>800000</v>
      </c>
      <c r="E28" s="28">
        <f>C28+D28</f>
        <v>875000</v>
      </c>
      <c r="F28" s="29">
        <f>IF($F$11=0,0,E28/$F$11)</f>
        <v>0.04375</v>
      </c>
    </row>
    <row r="29">
      <c r="B29" s="27">
        <f>$B$20</f>
        <v>70000000</v>
      </c>
      <c r="C29" s="27">
        <f>$C$8</f>
        <v>75000</v>
      </c>
      <c r="D29" s="27">
        <f>$F$20</f>
        <v>1120000</v>
      </c>
      <c r="E29" s="28">
        <f>C29+D29</f>
        <v>1195000</v>
      </c>
      <c r="F29" s="29">
        <f>IF($F$11=0,0,E29/$F$11)</f>
        <v>0.05975</v>
      </c>
    </row>
    <row r="30">
      <c r="B30" s="27">
        <f>$B$21</f>
        <v>100000000</v>
      </c>
      <c r="C30" s="27">
        <f>$C$8</f>
        <v>75000</v>
      </c>
      <c r="D30" s="27">
        <f>$F$21</f>
        <v>1600000</v>
      </c>
      <c r="E30" s="28">
        <f>C30+D30</f>
        <v>1675000</v>
      </c>
      <c r="F30" s="29">
        <f>IF($F$11=0,0,E30/$F$11)</f>
        <v>0.08375</v>
      </c>
    </row>
    <row r="31">
      <c r="B31" s="27">
        <f>$B$22</f>
        <v>150000000</v>
      </c>
      <c r="C31" s="27">
        <f>$C$8</f>
        <v>75000</v>
      </c>
      <c r="D31" s="27">
        <f>$F$22</f>
        <v>2400000</v>
      </c>
      <c r="E31" s="28">
        <f>C31+D31</f>
        <v>2475000</v>
      </c>
      <c r="F31" s="29">
        <f>IF($F$11=0,0,E31/$F$11)</f>
        <v>0.12375</v>
      </c>
    </row>
    <row r="33" ht="26" customHeight="1">
      <c r="B33" s="30" t="inlineStr">
        <is>
          <t>Assumptions: block size ₹10,00,000 and 0.08% of equity per block, as proposed by the Adviser. Amounts placed and valuations shown are illustrative only — edit the blue cells to test others.</t>
        </is>
      </c>
    </row>
    <row r="34" ht="26" customHeight="1">
      <c r="B34" s="30" t="inlineStr">
        <is>
          <t>Option A and Option B are two forms of the same fee. Option A is fixed in percentage terms; Option B converts that percentage to cash at the valuation finally adopted.</t>
        </is>
      </c>
    </row>
    <row r="35" ht="26" customHeight="1">
      <c r="B35" s="30" t="inlineStr">
        <is>
          <t>Option A is subject to confirmation that the Company’s constitutional documents permit the issue or transfer of shares to the Adviser, and to any approval that may be required.</t>
        </is>
      </c>
    </row>
    <row r="36" ht="26" customHeight="1">
      <c r="B36" s="30" t="inlineStr">
        <is>
          <t>The placement fee applies only to amounts placed with investors introduced by the Adviser.</t>
        </is>
      </c>
    </row>
  </sheetData>
  <mergeCells count="4">
    <mergeCell ref="B34:F34"/>
    <mergeCell ref="B33:F33"/>
    <mergeCell ref="B36:F36"/>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28"/>
  <sheetViews>
    <sheetView showGridLines="0" workbookViewId="0">
      <selection activeCell="A1" sqref="A1"/>
    </sheetView>
  </sheetViews>
  <sheetFormatPr baseColWidth="8" defaultRowHeight="15" outlineLevelCol="0"/>
  <cols>
    <col width="3" customWidth="1" min="1" max="1"/>
    <col width="34" customWidth="1" min="2" max="2"/>
    <col width="74" customWidth="1" min="3" max="3"/>
  </cols>
  <sheetData>
    <row r="2">
      <c r="B2" s="1" t="inlineStr">
        <is>
          <t>TERMS AND EXCLUSIONS</t>
        </is>
      </c>
    </row>
    <row r="4">
      <c r="B4" s="3" t="inlineStr">
        <is>
          <t>COMMERCIAL TERMS</t>
        </is>
      </c>
      <c r="C4" s="3" t="n"/>
    </row>
    <row r="5" ht="40" customHeight="1">
      <c r="B5" s="9" t="inlineStr">
        <is>
          <t>Engagement fee</t>
        </is>
      </c>
      <c r="C5" s="6" t="inlineStr">
        <is>
          <t>₹75,000 flat, one-time. Payable 50% on signing and 50% on delivery of the valuation report. Not refundable and not contingent on the valuation concluded or on completion of a raise.</t>
        </is>
      </c>
    </row>
    <row r="6" ht="40" customHeight="1">
      <c r="B6" s="9" t="inlineStr">
        <is>
          <t>Placement fee</t>
        </is>
      </c>
      <c r="C6" s="6" t="inlineStr">
        <is>
          <t>0.08% of equity, or its cash equivalent at the valuation adopted, for every ₹10,00,000 of stake placed. The Management elects the form. Payable within 7 days of receipt of subscription monies, pro-rated across tranches.</t>
        </is>
      </c>
    </row>
    <row r="7" ht="40" customHeight="1">
      <c r="B7" s="9" t="inlineStr">
        <is>
          <t>Adviser-introduced only</t>
        </is>
      </c>
      <c r="C7" s="6" t="inlineStr">
        <is>
          <t>The placement fee is payable solely on amounts subscribed by investors first introduced to the Company by the Adviser. No fee arises on any investor introduced by the Management or already known to the Company.</t>
        </is>
      </c>
    </row>
    <row r="8" ht="40" customHeight="1">
      <c r="B8" s="9" t="inlineStr">
        <is>
          <t>Introduction register</t>
        </is>
      </c>
      <c r="C8" s="6" t="inlineStr">
        <is>
          <t>A written register of introductions will be maintained and countersigned by both parties, to avoid any dispute over entitlement.</t>
        </is>
      </c>
    </row>
    <row r="9" ht="40" customHeight="1">
      <c r="B9" s="9" t="inlineStr">
        <is>
          <t>Exclusivity</t>
        </is>
      </c>
      <c r="C9" s="6" t="inlineStr">
        <is>
          <t>Nine months from signing, extendable by mutual written agreement.</t>
        </is>
      </c>
    </row>
    <row r="10" ht="40" customHeight="1">
      <c r="B10" s="9" t="inlineStr">
        <is>
          <t>Tail period</t>
        </is>
      </c>
      <c r="C10" s="6" t="inlineStr">
        <is>
          <t>Six months after expiry or termination. An Adviser-introduced investor who subscribes during the tail attracts the placement fee.</t>
        </is>
      </c>
    </row>
    <row r="11" ht="40" customHeight="1">
      <c r="B11" s="9" t="inlineStr">
        <is>
          <t>Taxes</t>
        </is>
      </c>
      <c r="C11" s="6" t="inlineStr">
        <is>
          <t>All fees are exclusive of GST, charged as applicable. The Company may withhold tax at source under Section 194J.</t>
        </is>
      </c>
    </row>
    <row r="12" ht="40" customHeight="1">
      <c r="B12" s="9" t="inlineStr">
        <is>
          <t>Expenses</t>
        </is>
      </c>
      <c r="C12" s="6" t="inlineStr">
        <is>
          <t>Out-of-pocket expenses (travel outside Nashik, printing, data subscriptions) reimbursed at actuals against receipts, with prior written approval for any item above ₹5,000.</t>
        </is>
      </c>
    </row>
    <row r="13" ht="40" customHeight="1">
      <c r="B13" s="9" t="inlineStr">
        <is>
          <t>Termination</t>
        </is>
      </c>
      <c r="C13" s="6" t="inlineStr">
        <is>
          <t>Either party may terminate on 30 days’ written notice. Fees accrued to the date of termination, and the tail provision, survive.</t>
        </is>
      </c>
    </row>
    <row r="15">
      <c r="B15" s="3" t="inlineStr">
        <is>
          <t>EXCLUDED — BILLED BY THIRD PARTIES DIRECTLY TO THE COMPANY</t>
        </is>
      </c>
      <c r="C15" s="3" t="n"/>
    </row>
    <row r="16">
      <c r="B16" s="20" t="inlineStr">
        <is>
          <t>Item</t>
        </is>
      </c>
      <c r="C16" s="20" t="inlineStr">
        <is>
          <t>Why it may be required</t>
        </is>
      </c>
    </row>
    <row r="17" ht="42" customHeight="1">
      <c r="B17" s="5" t="inlineStr">
        <is>
          <t>Registered valuer report</t>
        </is>
      </c>
      <c r="C17" s="6" t="inlineStr">
        <is>
          <t>A report from an IBBI-registered valuer is required under Section 62(1)(c) read with Section 247 of the Companies Act, 2013 where shares are issued at a premium. The Adviser’s valuation is commercial advice and does not substitute for it.</t>
        </is>
      </c>
    </row>
    <row r="18" ht="42" customHeight="1">
      <c r="B18" s="5" t="inlineStr">
        <is>
          <t>Company secretary / legal</t>
        </is>
      </c>
      <c r="C18" s="6" t="inlineStr">
        <is>
          <t>Opinion on the permitted structure, drafting of the subscription and shareholders’ agreements, board and member resolutions, and all ROC filings.</t>
        </is>
      </c>
    </row>
    <row r="19" ht="42" customHeight="1">
      <c r="B19" s="5" t="inlineStr">
        <is>
          <t>Statutory fees and stamp duty</t>
        </is>
      </c>
      <c r="C19" s="6" t="inlineStr">
        <is>
          <t>ROC filing fees, stamp duty on share transfer or issue, and duty on transaction documents.</t>
        </is>
      </c>
    </row>
    <row r="20" ht="42" customHeight="1">
      <c r="B20" s="5" t="inlineStr">
        <is>
          <t>Tax advisory</t>
        </is>
      </c>
      <c r="C20" s="6" t="inlineStr">
        <is>
          <t>Advice on the tax treatment of the chosen structure for the Company, the Management and incoming investors.</t>
        </is>
      </c>
    </row>
    <row r="21" ht="42" customHeight="1">
      <c r="B21" s="5" t="inlineStr">
        <is>
          <t>Audit and certification</t>
        </is>
      </c>
      <c r="C21" s="6" t="inlineStr">
        <is>
          <t>Any additional audit, certificate or attestation an investor or regulator requires.</t>
        </is>
      </c>
    </row>
    <row r="22" ht="42" customHeight="1">
      <c r="B22" s="5" t="inlineStr">
        <is>
          <t>Investor due diligence</t>
        </is>
      </c>
      <c r="C22" s="6" t="inlineStr">
        <is>
          <t>Costs of any legal, financial or technical due diligence an incoming investor commissions.</t>
        </is>
      </c>
    </row>
    <row r="24">
      <c r="B24" s="12" t="inlineStr">
        <is>
          <t>IMPORTANT</t>
        </is>
      </c>
      <c r="C24" s="13" t="n"/>
    </row>
    <row r="25" ht="32" customHeight="1">
      <c r="B25" s="14" t="inlineStr">
        <is>
          <t>•  The Adviser acts as financial and transaction adviser. The Adviser is not a registered valuer, and does not provide legal, secretarial or tax advice. Those matters must be taken from suitably qualified professionals, whose fees are excluded above.</t>
        </is>
      </c>
    </row>
    <row r="26" ht="32" customHeight="1">
      <c r="B26" s="14" t="inlineStr">
        <is>
          <t>•  The engagement fee is deliberately independent of the valuation concluded, so that the valuation opinion is not influenced by the Adviser’s own remuneration.</t>
        </is>
      </c>
    </row>
    <row r="27" ht="32" customHeight="1">
      <c r="B27" s="14" t="inlineStr">
        <is>
          <t>•  Nothing in this proposal is a commitment that any particular valuation will be achieved, or that any amount will be raised.</t>
        </is>
      </c>
    </row>
    <row r="28" ht="32" customHeight="1">
      <c r="B28" s="14" t="inlineStr">
        <is>
          <t>•  This proposal is valid for 30 days from the date of issue.</t>
        </is>
      </c>
    </row>
  </sheetData>
  <mergeCells count="4">
    <mergeCell ref="B25:C25"/>
    <mergeCell ref="B27:C27"/>
    <mergeCell ref="B28:C28"/>
    <mergeCell ref="B26:C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2026-10-02T19:07:57Z</dcterms:created>
  <dcterms:modified xsi:type="dcterms:W3CDTF">2026-10-02T19:07:57Z</dcterms:modified>
</cp:coreProperties>
</file>