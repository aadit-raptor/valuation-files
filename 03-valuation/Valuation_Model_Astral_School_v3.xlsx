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B33C952-F138-4C22-9CE9-65593B14A0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ummary" sheetId="1" r:id="rId1"/>
    <sheet name="Audited Base" sheetId="2" r:id="rId2"/>
    <sheet name="Assumptions" sheetId="3" r:id="rId3"/>
    <sheet name="Projections" sheetId="4" r:id="rId4"/>
    <sheet name="DCF" sheetId="5" r:id="rId5"/>
    <sheet name="Multiples &amp; NAV" sheetId="6" r:id="rId6"/>
    <sheet name="Reverse Test" sheetId="7" r:id="rId7"/>
  </sheet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<sst xmlns="http://schemas.openxmlformats.org/spreadsheetml/2006/main" count="429" uniqueCount="261">
  <si>
    <t>ASTRAL SCHOOL — VALUATION SUMMARY</t>
  </si>
  <si>
    <t>THE BUSINESS TODAY</t>
  </si>
  <si>
    <t>Metric</t>
  </si>
  <si>
    <t>Value</t>
  </si>
  <si>
    <t>Revenue, FY26 audited</t>
  </si>
  <si>
    <t>155 students at Nagre Nagar</t>
  </si>
  <si>
    <t>Adjusted EBITDA, FY26</t>
  </si>
  <si>
    <t>After normalising loan and non-cash items</t>
  </si>
  <si>
    <t>Profit after tax, FY26</t>
  </si>
  <si>
    <t>The company is profitable</t>
  </si>
  <si>
    <t>Book equity</t>
  </si>
  <si>
    <t>6,000 shares — ₹220 per share, not ₹31</t>
  </si>
  <si>
    <t>Net debt</t>
  </si>
  <si>
    <t>Unsecured borrowings less cash</t>
  </si>
  <si>
    <t>Net debt ÷ EBITDA</t>
  </si>
  <si>
    <t>Highly leveraged for this size</t>
  </si>
  <si>
    <t>VALUATION RANGE — EQUITY VALUE  (₹ lakh)</t>
  </si>
  <si>
    <t>Method</t>
  </si>
  <si>
    <t>Low</t>
  </si>
  <si>
    <t>High</t>
  </si>
  <si>
    <t>Mid</t>
  </si>
  <si>
    <t>Basis</t>
  </si>
  <si>
    <t>Net asset value</t>
  </si>
  <si>
    <t>Floor. Land is leased.</t>
  </si>
  <si>
    <t>Revenue multiple, 3.0x – 5.0x</t>
  </si>
  <si>
    <t>Applied to audited FY26 revenue</t>
  </si>
  <si>
    <t>EBITDA multiple, 10.0x – 15.0x</t>
  </si>
  <si>
    <t>Applied to adjusted FY26 EBITDA</t>
  </si>
  <si>
    <t>DCF — Case A, organic</t>
  </si>
  <si>
    <t>Pre-money: excludes the raise</t>
  </si>
  <si>
    <t>DCF — Case B, mgmt conservative</t>
  </si>
  <si>
    <t>Assumes the raise is received</t>
  </si>
  <si>
    <t>DCF — Case C, mgmt moderate</t>
  </si>
  <si>
    <t>Assumes the raise plus a third preschool</t>
  </si>
  <si>
    <t>CONCLUDED RANGE — PRE-MONEY EQUITY</t>
  </si>
  <si>
    <t>≈ ₹0.45 Cr to ₹2.00 Cr, midpoint ₹1.22 Cr</t>
  </si>
  <si>
    <t>Client expectation (₹10 lakh per 1%)</t>
  </si>
  <si>
    <t>WHAT THIS MEANS FOR THE RAISE</t>
  </si>
  <si>
    <t>Pre-money valuation</t>
  </si>
  <si>
    <t>₹2 Cr buys</t>
  </si>
  <si>
    <t>Promoter retains</t>
  </si>
  <si>
    <t>Verdict</t>
  </si>
  <si>
    <t>Promoter loses control</t>
  </si>
  <si>
    <t>Marginal</t>
  </si>
  <si>
    <t>Workable</t>
  </si>
  <si>
    <t>AUDITED BASE AND NORMALISATION</t>
  </si>
  <si>
    <t>STATEMENT OF PROFIT AND LOSS AS REPORTED</t>
  </si>
  <si>
    <t>Particulars</t>
  </si>
  <si>
    <t>₹</t>
  </si>
  <si>
    <t>₹ lakh</t>
  </si>
  <si>
    <t>Source</t>
  </si>
  <si>
    <t>Revenue from operations</t>
  </si>
  <si>
    <t>P&amp;L, Note 10</t>
  </si>
  <si>
    <t>Other income</t>
  </si>
  <si>
    <t>P&amp;L, Note 11</t>
  </si>
  <si>
    <t>Employee benefit expenses</t>
  </si>
  <si>
    <t>P&amp;L, Note 12</t>
  </si>
  <si>
    <t>Finance costs</t>
  </si>
  <si>
    <t>P&amp;L, Note 13</t>
  </si>
  <si>
    <t>Depreciation and amortisation</t>
  </si>
  <si>
    <t>P&amp;L, Note 14</t>
  </si>
  <si>
    <t>Other expenses</t>
  </si>
  <si>
    <t>P&amp;L, Note 15</t>
  </si>
  <si>
    <t>Profit before tax</t>
  </si>
  <si>
    <t>Agrees to P&amp;L</t>
  </si>
  <si>
    <t>Current and deferred tax</t>
  </si>
  <si>
    <t>P&amp;L, Notes 16-17</t>
  </si>
  <si>
    <t>Profit after tax</t>
  </si>
  <si>
    <t>Effective rate 29.0%</t>
  </si>
  <si>
    <t>NORMALISED EBITDA</t>
  </si>
  <si>
    <t>Build-up</t>
  </si>
  <si>
    <t>Basis for the adjustment</t>
  </si>
  <si>
    <t>As reported</t>
  </si>
  <si>
    <t>Add back finance costs</t>
  </si>
  <si>
    <t>Below the EBITDA line</t>
  </si>
  <si>
    <t>Add back depreciation and amortisation</t>
  </si>
  <si>
    <t>Non-cash</t>
  </si>
  <si>
    <t>Add back loan insurance, processing and legal fees</t>
  </si>
  <si>
    <t>Financing costs sitting in other expenses — Note 15</t>
  </si>
  <si>
    <t>Add back stamp duty on lease, 1/5 amortisation</t>
  </si>
  <si>
    <t>Non-cash amortisation of a capitalised cost — Note 15</t>
  </si>
  <si>
    <t>Less other income (bank interest)</t>
  </si>
  <si>
    <t>Not operating</t>
  </si>
  <si>
    <t>Adjusted EBITDA</t>
  </si>
  <si>
    <t>Margin on revenue</t>
  </si>
  <si>
    <t>Adjusted EBITDA margin</t>
  </si>
  <si>
    <t>Unusually high — see Open Questions, item 3</t>
  </si>
  <si>
    <t>BALANCE SHEET AND NET DEBT</t>
  </si>
  <si>
    <t>Total assets</t>
  </si>
  <si>
    <t>Balance sheet</t>
  </si>
  <si>
    <t>Total liabilities (incl. ₹5,86,080 short-term provisions)</t>
  </si>
  <si>
    <t>Balance sheet, Notes 4-6 and Note 5</t>
  </si>
  <si>
    <t>Net assets / book equity</t>
  </si>
  <si>
    <t>Agrees to shareholder funds ₹13,18,940</t>
  </si>
  <si>
    <t>Shares outstanding</t>
  </si>
  <si>
    <t>Note 1: 6,000 shares of ₹10. NOT 60,000.</t>
  </si>
  <si>
    <t>Book value per share</t>
  </si>
  <si>
    <t>Management report states ₹31 — overstated share count and omitted provisions</t>
  </si>
  <si>
    <t>Short-term borrowings (unsecured)</t>
  </si>
  <si>
    <t>Note 6</t>
  </si>
  <si>
    <t>Less cash and cash equivalents</t>
  </si>
  <si>
    <t>Note 9</t>
  </si>
  <si>
    <t>NET DEBT</t>
  </si>
  <si>
    <t>Deducted from enterprise value throughout</t>
  </si>
  <si>
    <t>All figures converted from the thousands used in the audited statements. FY 2024-25 comparatives are nil throughout: the company was incorporated during FY 2025-26, so this is its first reporting period.</t>
  </si>
  <si>
    <t>ASSUMPTIONS</t>
  </si>
  <si>
    <t>Blue cells are inputs. Every projection and valuation on later tabs is driven from here.</t>
  </si>
  <si>
    <t>VALUATION PARAMETERS</t>
  </si>
  <si>
    <t>Fee per student, FY26 actual (₹)</t>
  </si>
  <si>
    <t>Audited revenue ₹60,90,900 ÷ 155 students</t>
  </si>
  <si>
    <t>Fee inflation per annum</t>
  </si>
  <si>
    <t>Management assumes 3.6%; 7% reflects Indian private school fee inflation</t>
  </si>
  <si>
    <t>Effective tax rate</t>
  </si>
  <si>
    <t>25% plus cess. Management projections contain NO tax line at all.</t>
  </si>
  <si>
    <t>WACC (discount rate)</t>
  </si>
  <si>
    <t>See build-up on the DCF tab</t>
  </si>
  <si>
    <t>Terminal growth rate</t>
  </si>
  <si>
    <t>Nominal long-run growth</t>
  </si>
  <si>
    <t>Maintenance capex, % of revenue</t>
  </si>
  <si>
    <t>Excludes the growth capex funded by the raise</t>
  </si>
  <si>
    <t>Rent, FY27 base (₹)</t>
  </si>
  <si>
    <t>Audited FY26 rent was ₹8,04,340; management projects ₹20,40,000 — unexplained</t>
  </si>
  <si>
    <t>Rent growth per annum</t>
  </si>
  <si>
    <t>Assumed escalation</t>
  </si>
  <si>
    <t>FEE PER STUDENT BY YEAR</t>
  </si>
  <si>
    <t>Year</t>
  </si>
  <si>
    <t>2026-27</t>
  </si>
  <si>
    <t>2027-28</t>
  </si>
  <si>
    <t>2028-29</t>
  </si>
  <si>
    <t>2029-30</t>
  </si>
  <si>
    <t>2030-31</t>
  </si>
  <si>
    <t>2031-32</t>
  </si>
  <si>
    <t>Fee per student (₹)</t>
  </si>
  <si>
    <t>Compounded from the FY26 actual</t>
  </si>
  <si>
    <t>STUDENT NUMBERS — THREE CASES</t>
  </si>
  <si>
    <t>Case</t>
  </si>
  <si>
    <t>Rationale</t>
  </si>
  <si>
    <t>A — Organic (no new capital)</t>
  </si>
  <si>
    <t>What the school can reach on its own cash, without the ₹2 Cr. This is the pre-money case.</t>
  </si>
  <si>
    <t>B — Management Conservative</t>
  </si>
  <si>
    <t>Management’s own conservative trajectory, which assumes the raise is received.</t>
  </si>
  <si>
    <t>C — Management Moderate</t>
  </si>
  <si>
    <t>Management’s moderate trajectory, which also assumes a third preschool feeding in.</t>
  </si>
  <si>
    <t>Historical students, Nagre Nagar</t>
  </si>
  <si>
    <t>2018-19: 60</t>
  </si>
  <si>
    <t>2019-20: 104</t>
  </si>
  <si>
    <t>2020-21: 45</t>
  </si>
  <si>
    <t>2021-22: 55</t>
  </si>
  <si>
    <t>2022-23: 90</t>
  </si>
  <si>
    <t>2023-24: 120</t>
  </si>
  <si>
    <t>2024-25: 145 · 2025-26: 155 · source Student-Growth sheet</t>
  </si>
  <si>
    <t>COST STRUCTURE</t>
  </si>
  <si>
    <t>Line</t>
  </si>
  <si>
    <t>Staff cost, % of revenue</t>
  </si>
  <si>
    <t>Audited FY26 was 16.5% — a preschool with low-paid assistants. Ramps toward normal school levels as Grades 1-6 are added and qualified teachers are needed.</t>
  </si>
  <si>
    <t>Other operating cost, % of revenue</t>
  </si>
  <si>
    <t>Audited FY26 was 32.9% excluding rent, loan and stamp-duty items. Declines modestly with scale.</t>
  </si>
  <si>
    <t>Rent (₹)</t>
  </si>
  <si>
    <t>Reconciliation needed — see Open Questions, item 2</t>
  </si>
  <si>
    <t>Depreciation and amortisation (₹)</t>
  </si>
  <si>
    <t>₹1.46 Cr building over 30 years once complete, plus stamp duty amortisation to FY30</t>
  </si>
  <si>
    <t>PROJECTIONS — THREE CASES</t>
  </si>
  <si>
    <t>CASE A — ORGANIC (NO NEW CAPITAL)</t>
  </si>
  <si>
    <t>Students</t>
  </si>
  <si>
    <t>Revenue</t>
  </si>
  <si>
    <t>Revenue growth</t>
  </si>
  <si>
    <t>—</t>
  </si>
  <si>
    <t>Staff cost</t>
  </si>
  <si>
    <t>Rent</t>
  </si>
  <si>
    <t>Other operating costs</t>
  </si>
  <si>
    <t>EBITDA</t>
  </si>
  <si>
    <t>EBITDA margin</t>
  </si>
  <si>
    <t>EBIT</t>
  </si>
  <si>
    <t>Tax on EBIT</t>
  </si>
  <si>
    <t>NOPAT</t>
  </si>
  <si>
    <t>Add back depreciation</t>
  </si>
  <si>
    <t>Maintenance capex</t>
  </si>
  <si>
    <t>FREE CASH FLOW</t>
  </si>
  <si>
    <t>CASE B — MANAGEMENT CONSERVATIVE</t>
  </si>
  <si>
    <t>CASE C — MANAGEMENT MODERATE</t>
  </si>
  <si>
    <t>DISCOUNTED CASH FLOW</t>
  </si>
  <si>
    <t>DISCOUNT RATE BUILD-UP</t>
  </si>
  <si>
    <t>Risk-free rate (10-year G-sec)</t>
  </si>
  <si>
    <t>Indicative</t>
  </si>
  <si>
    <t>Equity risk premium, India</t>
  </si>
  <si>
    <t>Market</t>
  </si>
  <si>
    <t>Beta, education sector</t>
  </si>
  <si>
    <t>Unlevered, sector</t>
  </si>
  <si>
    <t>Size and illiquidity premium</t>
  </si>
  <si>
    <t>Unlisted, single site, no market for the shares</t>
  </si>
  <si>
    <t>Company-specific risk premium</t>
  </si>
  <si>
    <t>One campus, leased land, Board permission not yet obtained, key-person dependence</t>
  </si>
  <si>
    <t>Cost of equity</t>
  </si>
  <si>
    <t>Risk-free + beta × ERP + premiums</t>
  </si>
  <si>
    <t>Pre-tax cost of debt</t>
  </si>
  <si>
    <t>Rate on existing loans per Raw-Data sheet</t>
  </si>
  <si>
    <t>After-tax cost of debt</t>
  </si>
  <si>
    <t>× (1 − tax rate)</t>
  </si>
  <si>
    <t>Target equity weighting</t>
  </si>
  <si>
    <t>Post-transaction</t>
  </si>
  <si>
    <t>WACC — rounded and used throughout</t>
  </si>
  <si>
    <t>Entered on the Assumptions tab</t>
  </si>
  <si>
    <t>Total</t>
  </si>
  <si>
    <t>Free cash flow</t>
  </si>
  <si>
    <t>Discount factor</t>
  </si>
  <si>
    <t>Present value of cash flow</t>
  </si>
  <si>
    <t>Terminal value at end of FY32</t>
  </si>
  <si>
    <t>Gordon growth</t>
  </si>
  <si>
    <t>Present value of terminal value</t>
  </si>
  <si>
    <t>ENTERPRISE VALUE</t>
  </si>
  <si>
    <t>Less net debt</t>
  </si>
  <si>
    <t>EQUITY VALUE</t>
  </si>
  <si>
    <t>Terminal value as % of enterprise value</t>
  </si>
  <si>
    <t>EQUITY VALUE SENSITIVITY TO THE DISCOUNT RATE  (₹ lakh)</t>
  </si>
  <si>
    <t>WACC</t>
  </si>
  <si>
    <t>Case A</t>
  </si>
  <si>
    <t>Case B</t>
  </si>
  <si>
    <t>Case C</t>
  </si>
  <si>
    <t>Note</t>
  </si>
  <si>
    <t>← would be needed for ₹10 Cr; see Reverse Test</t>
  </si>
  <si>
    <t>← rate used</t>
  </si>
  <si>
    <t>MARKET MULTIPLES AND NET ASSET VALUE</t>
  </si>
  <si>
    <t>Cross-checks on the DCF, applied to audited FY26 figures.</t>
  </si>
  <si>
    <t>REVENUE MULTIPLE</t>
  </si>
  <si>
    <t>Multiple</t>
  </si>
  <si>
    <t>Enterprise value</t>
  </si>
  <si>
    <t>Equity value</t>
  </si>
  <si>
    <t>Comment</t>
  </si>
  <si>
    <t>Distressed / asset-backed</t>
  </si>
  <si>
    <t>Small single-site school</t>
  </si>
  <si>
    <t>Strong growth, established</t>
  </si>
  <si>
    <t>Top of any defensible range</t>
  </si>
  <si>
    <t>Implied by the ₹10 crore expectation</t>
  </si>
  <si>
    <t>EBITDA MULTIPLE</t>
  </si>
  <si>
    <t>Small, illiquid, single asset</t>
  </si>
  <si>
    <t>Mid-point</t>
  </si>
  <si>
    <t>Growth premium</t>
  </si>
  <si>
    <t>NET ASSET VALUE — THE FLOOR</t>
  </si>
  <si>
    <t>Book equity per audited balance sheet</t>
  </si>
  <si>
    <t>Land is leased, so there is no land value to add</t>
  </si>
  <si>
    <t>Per share (6,000 shares)</t>
  </si>
  <si>
    <t>Management report states ₹31 per share</t>
  </si>
  <si>
    <t>The building was constructed with borrowed money, so its value is already offset by the debt that funded it. That is why equity value is thin despite ₹1.50 crore of property on the balance sheet: the lenders rank ahead of the shareholders.</t>
  </si>
  <si>
    <t>REVERSE TEST — WHAT WOULD HAVE TO BE TRUE FOR ₹10 CRORE</t>
  </si>
  <si>
    <t>THE TARGET</t>
  </si>
  <si>
    <t>Expected valuation (₹10 lakh per 1%)</t>
  </si>
  <si>
    <t>Add net debt to reach the required enterprise value</t>
  </si>
  <si>
    <t>Required enterprise value</t>
  </si>
  <si>
    <t>WHAT THE ₹10 CRORE EXPECTATION IMPLIES ON TODAY’S NUMBERS</t>
  </si>
  <si>
    <t>Audited FY26</t>
  </si>
  <si>
    <t>Implied multiple at ₹10 crore</t>
  </si>
  <si>
    <t>x</t>
  </si>
  <si>
    <t>Rebuilt from the audited FY26 base.</t>
  </si>
  <si>
    <t>Case A excludes the ₹2 crore raise and the growth it funds. It is therefore is the basis for a PRE-MONEY valuation.</t>
  </si>
  <si>
    <t>Excelerate Learning Foundation · FY 2025-26 · audited by Ulhas Borse &amp; Co</t>
  </si>
  <si>
    <t>Justify value x times</t>
  </si>
  <si>
    <t>BY CLIENT ESTIMATE</t>
  </si>
  <si>
    <t>&lt;target</t>
  </si>
  <si>
    <t>What conclusion:</t>
  </si>
  <si>
    <t>the given target asks us to justify 6.6 times of the actual enterprice value,which is quite farfetched</t>
  </si>
  <si>
    <t>33.33 %would be workable cause 3.3 is a sound number to justify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</si>
</sst>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\₹#,##0;\(\₹#,##0\);\-"/>
    <numFmt numFmtId="165" formatCode="#,##0.0;\(#,##0.0\);\-"/>
    <numFmt numFmtId="166" formatCode="0.0%;\(0.0%\);\-"/>
    <numFmt numFmtId="167" formatCode="#,##0;\(#,##0\);\-"/>
    <numFmt numFmtId="168" formatCode="0.0\x"/>
    <numFmt numFmtId="169" formatCode="0.0000"/>
    <numFmt numFmtId="178" formatCode="0.0"/>
  </numFmts>
  <fonts count="16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595959"/>
      <name val="Arial"/>
    </font>
    <font>
      <b/>
      <sz val="11"/>
      <color rgb="FF1F3864"/>
      <name val="Arial"/>
    </font>
    <font>
      <sz val="10"/>
      <color rgb="FF0000FF"/>
      <name val="Arial"/>
    </font>
    <font>
      <sz val="10"/>
      <color rgb="FF008000"/>
      <name val="Arial"/>
    </font>
    <font>
      <sz val="11"/>
      <color theme="1"/>
      <name val="Calibri"/>
      <family val="2"/>
      <scheme val="minor"/>
    </font>
    <font>
      <i/>
      <sz val="10"/>
      <color rgb="FF595959"/>
      <name val="Arial"/>
      <family val="2"/>
    </font>
    <font>
      <i/>
      <sz val="9"/>
      <color rgb="FF595959"/>
      <name val="Arial"/>
      <family val="2"/>
    </font>
    <font>
      <b/>
      <sz val="10"/>
      <color rgb="FF595959"/>
      <name val="Arial"/>
      <family val="2"/>
    </font>
    <font>
      <b/>
      <sz val="12"/>
      <color rgb="FF595959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164" fontId="9" fillId="0" borderId="1" xfId="0" applyNumberFormat="1" applyFont="1" applyBorder="1"/>
    <xf numFmtId="0" fontId="6" fillId="0" borderId="1" xfId="0" applyFont="1" applyBorder="1"/>
    <xf numFmtId="164" fontId="5" fillId="0" borderId="1" xfId="0" applyNumberFormat="1" applyFont="1" applyBorder="1"/>
    <xf numFmtId="168" fontId="9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7" fillId="5" borderId="1" xfId="0" applyFont="1" applyFill="1" applyBorder="1"/>
    <xf numFmtId="165" fontId="7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/>
    </xf>
    <xf numFmtId="168" fontId="4" fillId="6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/>
    <xf numFmtId="0" fontId="6" fillId="4" borderId="1" xfId="0" applyFont="1" applyFill="1" applyBorder="1"/>
    <xf numFmtId="164" fontId="7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4" fontId="8" fillId="6" borderId="1" xfId="0" applyNumberFormat="1" applyFont="1" applyFill="1" applyBorder="1"/>
    <xf numFmtId="166" fontId="8" fillId="6" borderId="1" xfId="0" applyNumberFormat="1" applyFont="1" applyFill="1" applyBorder="1"/>
    <xf numFmtId="0" fontId="4" fillId="3" borderId="1" xfId="0" applyFont="1" applyFill="1" applyBorder="1"/>
    <xf numFmtId="167" fontId="8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8" fontId="8" fillId="6" borderId="1" xfId="0" applyNumberFormat="1" applyFont="1" applyFill="1" applyBorder="1"/>
    <xf numFmtId="166" fontId="4" fillId="5" borderId="1" xfId="0" applyNumberFormat="1" applyFont="1" applyFill="1" applyBorder="1"/>
    <xf numFmtId="0" fontId="6" fillId="5" borderId="1" xfId="0" applyFont="1" applyFill="1" applyBorder="1" applyAlignment="1">
      <alignment vertical="top" wrapText="1"/>
    </xf>
    <xf numFmtId="169" fontId="5" fillId="0" borderId="1" xfId="0" applyNumberFormat="1" applyFont="1" applyBorder="1" applyAlignment="1">
      <alignment horizontal="center"/>
    </xf>
    <xf numFmtId="168" fontId="8" fillId="6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168" fontId="7" fillId="6" borderId="1" xfId="0" applyNumberFormat="1" applyFont="1" applyFill="1" applyBorder="1" applyAlignment="1">
      <alignment horizontal="center"/>
    </xf>
    <xf numFmtId="0" fontId="0" fillId="0" borderId="0" xfId="0"/>
    <xf numFmtId="0" fontId="6" fillId="0" borderId="0" xfId="0" applyFont="1" applyAlignment="1">
      <alignment vertical="top" wrapText="1"/>
    </xf>
    <xf numFmtId="43" fontId="0" fillId="0" borderId="0" xfId="1" applyFont="1"/>
    <xf numFmtId="43" fontId="3" fillId="2" borderId="0" xfId="1" applyFont="1" applyFill="1"/>
    <xf numFmtId="43" fontId="4" fillId="3" borderId="1" xfId="1" applyFont="1" applyFill="1" applyBorder="1" applyAlignment="1">
      <alignment horizontal="center"/>
    </xf>
    <xf numFmtId="43" fontId="5" fillId="0" borderId="1" xfId="1" applyFont="1" applyBorder="1"/>
    <xf numFmtId="43" fontId="6" fillId="0" borderId="1" xfId="1" applyFont="1" applyBorder="1"/>
    <xf numFmtId="43" fontId="4" fillId="4" borderId="1" xfId="1" applyFont="1" applyFill="1" applyBorder="1"/>
    <xf numFmtId="43" fontId="6" fillId="4" borderId="1" xfId="1" applyFont="1" applyFill="1" applyBorder="1"/>
    <xf numFmtId="43" fontId="7" fillId="5" borderId="1" xfId="1" applyFont="1" applyFill="1" applyBorder="1"/>
    <xf numFmtId="43" fontId="6" fillId="5" borderId="1" xfId="1" applyFont="1" applyFill="1" applyBorder="1"/>
    <xf numFmtId="43" fontId="4" fillId="0" borderId="1" xfId="1" applyFont="1" applyBorder="1"/>
    <xf numFmtId="43" fontId="6" fillId="0" borderId="0" xfId="1" applyFont="1" applyAlignment="1">
      <alignment vertical="top" wrapText="1"/>
    </xf>
    <xf numFmtId="43" fontId="0" fillId="0" borderId="0" xfId="1" applyFont="1"/>
    <xf numFmtId="0" fontId="7" fillId="5" borderId="2" xfId="0" applyFont="1" applyFill="1" applyBorder="1"/>
    <xf numFmtId="0" fontId="7" fillId="5" borderId="3" xfId="0" applyFont="1" applyFill="1" applyBorder="1"/>
    <xf numFmtId="0" fontId="7" fillId="5" borderId="0" xfId="0" applyFont="1" applyFill="1" applyBorder="1"/>
    <xf numFmtId="164" fontId="4" fillId="0" borderId="5" xfId="0" applyNumberFormat="1" applyFont="1" applyBorder="1"/>
    <xf numFmtId="0" fontId="7" fillId="5" borderId="4" xfId="0" applyFont="1" applyFill="1" applyBorder="1"/>
    <xf numFmtId="0" fontId="11" fillId="0" borderId="0" xfId="0" applyFont="1"/>
    <xf numFmtId="0" fontId="12" fillId="0" borderId="0" xfId="0" applyFont="1" applyAlignment="1">
      <alignment vertical="top"/>
    </xf>
    <xf numFmtId="0" fontId="0" fillId="0" borderId="0" xfId="0" applyAlignment="1"/>
    <xf numFmtId="43" fontId="13" fillId="0" borderId="0" xfId="1" applyFont="1"/>
    <xf numFmtId="43" fontId="14" fillId="0" borderId="0" xfId="1" applyFont="1"/>
    <xf numFmtId="0" fontId="15" fillId="3" borderId="6" xfId="0" applyFont="1" applyFill="1" applyBorder="1" applyAlignment="1">
      <alignment horizontal="center"/>
    </xf>
    <xf numFmtId="178" fontId="0" fillId="0" borderId="0" xfId="0" applyNumberFormat="1"/>
    <xf numFmtId="0" fontId="12" fillId="0" borderId="7" xfId="0" applyFont="1" applyFill="1" applyBorder="1"/>
    <xf numFmtId="166" fontId="15" fillId="0" borderId="7" xfId="0" applyNumberFormat="1" applyFont="1" applyFill="1" applyBorder="1" applyAlignment="1">
      <alignment horizontal="center"/>
    </xf>
    <xf numFmtId="164" fontId="5" fillId="7" borderId="1" xfId="0" applyNumberFormat="1" applyFont="1" applyFill="1" applyBorder="1"/>
    <xf numFmtId="164" fontId="5" fillId="0" borderId="1" xfId="0" applyNumberFormat="1" applyFont="1" applyFill="1" applyBorder="1"/>
    <xf numFmtId="178" fontId="0" fillId="8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4"/>
  <sheetViews>
    <sheetView topLeftCell="A8" workbookViewId="0">
      <selection activeCell="B32" sqref="B32"/>
    </sheetView>
  </sheetViews>
  <sheetFormatPr defaultRowHeight="14.4" x14ac:dyDescent="0.3"/>
  <cols>
    <col min="1" max="1" width="3" customWidth="1"/>
    <col min="2" max="2" width="42" customWidth="1"/>
    <col min="3" max="5" width="18" customWidth="1"/>
    <col min="6" max="6" width="42" customWidth="1"/>
    <col min="7" max="7" width="10" bestFit="1" customWidth="1"/>
  </cols>
  <sheetData>
    <row r="2" spans="1:6" ht="21" x14ac:dyDescent="0.4">
      <c r="B2" s="1" t="s">
        <v>0</v>
      </c>
    </row>
    <row r="3" spans="1:6" x14ac:dyDescent="0.3">
      <c r="B3" s="2"/>
    </row>
    <row r="4" spans="1:6" x14ac:dyDescent="0.3">
      <c r="B4" s="2"/>
    </row>
    <row r="6" spans="1:6" x14ac:dyDescent="0.3">
      <c r="A6" t="s">
        <v>251</v>
      </c>
      <c r="B6" s="3" t="s">
        <v>1</v>
      </c>
      <c r="C6" s="3"/>
      <c r="D6" s="3"/>
      <c r="E6" s="3"/>
      <c r="F6" s="3"/>
    </row>
    <row r="7" spans="1:6" x14ac:dyDescent="0.3">
      <c r="B7" s="4" t="s">
        <v>2</v>
      </c>
      <c r="C7" s="4" t="s">
        <v>3</v>
      </c>
      <c r="D7" s="4"/>
    </row>
    <row r="8" spans="1:6" x14ac:dyDescent="0.3">
      <c r="B8" s="5" t="s">
        <v>4</v>
      </c>
      <c r="C8" s="6">
        <f>'Audited Base'!$C$7</f>
        <v>6090900</v>
      </c>
      <c r="F8" s="7" t="s">
        <v>5</v>
      </c>
    </row>
    <row r="9" spans="1:6" x14ac:dyDescent="0.3">
      <c r="B9" s="5" t="s">
        <v>6</v>
      </c>
      <c r="C9" s="6">
        <f>'Audited Base'!$C$25</f>
        <v>2274220</v>
      </c>
      <c r="F9" s="7" t="s">
        <v>7</v>
      </c>
    </row>
    <row r="10" spans="1:6" x14ac:dyDescent="0.3">
      <c r="B10" s="5" t="s">
        <v>8</v>
      </c>
      <c r="C10" s="8">
        <v>1258940</v>
      </c>
      <c r="F10" s="7" t="s">
        <v>9</v>
      </c>
    </row>
    <row r="11" spans="1:6" x14ac:dyDescent="0.3">
      <c r="B11" s="5" t="s">
        <v>10</v>
      </c>
      <c r="C11" s="6">
        <f>'Audited Base'!$C$32</f>
        <v>1318945</v>
      </c>
      <c r="F11" s="7" t="s">
        <v>11</v>
      </c>
    </row>
    <row r="12" spans="1:6" x14ac:dyDescent="0.3">
      <c r="B12" s="5" t="s">
        <v>12</v>
      </c>
      <c r="C12" s="6">
        <f>'Audited Base'!$C$37</f>
        <v>13881206</v>
      </c>
      <c r="F12" s="7" t="s">
        <v>13</v>
      </c>
    </row>
    <row r="13" spans="1:6" x14ac:dyDescent="0.3">
      <c r="A13" t="s">
        <v>251</v>
      </c>
      <c r="B13" s="5" t="s">
        <v>14</v>
      </c>
      <c r="C13" s="9">
        <f>'Audited Base'!$C$37/'Audited Base'!$C$25</f>
        <v>6.1037217155772092</v>
      </c>
      <c r="F13" s="7" t="s">
        <v>15</v>
      </c>
    </row>
    <row r="15" spans="1:6" x14ac:dyDescent="0.3">
      <c r="B15" s="3" t="s">
        <v>16</v>
      </c>
      <c r="C15" s="3"/>
      <c r="D15" s="3"/>
      <c r="E15" s="3"/>
      <c r="F15" s="3"/>
    </row>
    <row r="16" spans="1:6" x14ac:dyDescent="0.3"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</row>
    <row r="17" spans="1:7" x14ac:dyDescent="0.3">
      <c r="B17" s="5" t="s">
        <v>22</v>
      </c>
      <c r="C17" s="10">
        <v>13.189450000000001</v>
      </c>
      <c r="D17" s="10">
        <v>13.189450000000001</v>
      </c>
      <c r="E17" s="11">
        <f t="shared" ref="E17:E23" si="0">AVERAGE(C17:D17)</f>
        <v>13.189450000000001</v>
      </c>
      <c r="F17" s="7" t="s">
        <v>23</v>
      </c>
    </row>
    <row r="18" spans="1:7" x14ac:dyDescent="0.3">
      <c r="B18" s="5" t="s">
        <v>24</v>
      </c>
      <c r="C18" s="10">
        <v>43.914940000000001</v>
      </c>
      <c r="D18" s="10">
        <v>165.73294000000001</v>
      </c>
      <c r="E18" s="11">
        <f t="shared" si="0"/>
        <v>104.82394000000001</v>
      </c>
      <c r="F18" s="7" t="s">
        <v>25</v>
      </c>
    </row>
    <row r="19" spans="1:7" x14ac:dyDescent="0.3">
      <c r="B19" s="5" t="s">
        <v>26</v>
      </c>
      <c r="C19" s="10">
        <v>88.609939999999995</v>
      </c>
      <c r="D19" s="10">
        <v>202.32094000000001</v>
      </c>
      <c r="E19" s="11">
        <f t="shared" si="0"/>
        <v>145.46544</v>
      </c>
      <c r="F19" s="7" t="s">
        <v>27</v>
      </c>
    </row>
    <row r="20" spans="1:7" x14ac:dyDescent="0.3">
      <c r="B20" s="5" t="s">
        <v>28</v>
      </c>
      <c r="C20" s="10">
        <f>(NPV((Assumptions!$C$9+0.03),Projections!$C$22:$H$22)+(Projections!$H$22*(1+Assumptions!$C$10)/((Assumptions!$C$9+0.03)-Assumptions!$C$10))/(1+(Assumptions!$C$9+0.03))^6-'Audited Base'!$C$37)/100000</f>
        <v>-13.829682977547794</v>
      </c>
      <c r="D20" s="10">
        <f>(NPV((Assumptions!$C$9-0.03),Projections!$C$22:$H$22)+(Projections!$H$22*(1+Assumptions!$C$10)/((Assumptions!$C$9-0.03)-Assumptions!$C$10))/(1+(Assumptions!$C$9-0.03))^6-'Audited Base'!$C$37)/100000</f>
        <v>58.3629061294416</v>
      </c>
      <c r="E20" s="11">
        <f t="shared" si="0"/>
        <v>22.266611575946904</v>
      </c>
      <c r="F20" s="7" t="s">
        <v>29</v>
      </c>
    </row>
    <row r="21" spans="1:7" x14ac:dyDescent="0.3">
      <c r="B21" s="5" t="s">
        <v>30</v>
      </c>
      <c r="C21" s="10">
        <f>(NPV((Assumptions!$C$9+0.03),Projections!$C$41:$H$41)+(Projections!$H$41*(1+Assumptions!$C$10)/((Assumptions!$C$9+0.03)-Assumptions!$C$10))/(1+(Assumptions!$C$9+0.03))^6-'Audited Base'!$C$37)/100000</f>
        <v>48.74404163792115</v>
      </c>
      <c r="D21" s="10">
        <f>(NPV((Assumptions!$C$9-0.03),Projections!$C$41:$H$41)+(Projections!$H$41*(1+Assumptions!$C$10)/((Assumptions!$C$9-0.03)-Assumptions!$C$10))/(1+(Assumptions!$C$9-0.03))^6-'Audited Base'!$C$37)/100000</f>
        <v>165.29088832933195</v>
      </c>
      <c r="E21" s="11">
        <f t="shared" si="0"/>
        <v>107.01746498362655</v>
      </c>
      <c r="F21" s="7" t="s">
        <v>31</v>
      </c>
    </row>
    <row r="22" spans="1:7" x14ac:dyDescent="0.3">
      <c r="B22" s="5" t="s">
        <v>32</v>
      </c>
      <c r="C22" s="10">
        <f>(NPV((Assumptions!$C$9+0.03),Projections!$C$60:$H$60)+(Projections!$H$60*(1+Assumptions!$C$10)/((Assumptions!$C$9+0.03)-Assumptions!$C$10))/(1+(Assumptions!$C$9+0.03))^6-'Audited Base'!$C$37)/100000</f>
        <v>107.4673817448394</v>
      </c>
      <c r="D22" s="10">
        <f>(NPV((Assumptions!$C$9-0.03),Projections!$C$60:$H$60)+(Projections!$H$60*(1+Assumptions!$C$10)/((Assumptions!$C$9-0.03)-Assumptions!$C$10))/(1+(Assumptions!$C$9-0.03))^6-'Audited Base'!$C$37)/100000</f>
        <v>265.2066933223323</v>
      </c>
      <c r="E22" s="11">
        <f t="shared" si="0"/>
        <v>186.33703753358583</v>
      </c>
      <c r="F22" s="7" t="s">
        <v>33</v>
      </c>
    </row>
    <row r="23" spans="1:7" x14ac:dyDescent="0.3">
      <c r="B23" s="12" t="s">
        <v>34</v>
      </c>
      <c r="C23" s="13">
        <v>45</v>
      </c>
      <c r="D23" s="13">
        <v>200</v>
      </c>
      <c r="E23" s="13">
        <f t="shared" si="0"/>
        <v>122.5</v>
      </c>
      <c r="F23" s="14" t="s">
        <v>35</v>
      </c>
    </row>
    <row r="24" spans="1:7" x14ac:dyDescent="0.3">
      <c r="A24" t="s">
        <v>251</v>
      </c>
      <c r="B24" s="15" t="s">
        <v>36</v>
      </c>
      <c r="C24" s="16">
        <v>1000</v>
      </c>
      <c r="D24" s="16">
        <v>1000</v>
      </c>
      <c r="E24" s="16">
        <v>1000</v>
      </c>
      <c r="F24" s="17">
        <f>E24/E23</f>
        <v>8.1632653061224492</v>
      </c>
    </row>
    <row r="26" spans="1:7" x14ac:dyDescent="0.3">
      <c r="A26" t="s">
        <v>251</v>
      </c>
      <c r="B26" s="3" t="s">
        <v>37</v>
      </c>
      <c r="C26" s="3"/>
      <c r="D26" s="3"/>
      <c r="E26" s="3"/>
      <c r="F26" s="3"/>
    </row>
    <row r="27" spans="1:7" x14ac:dyDescent="0.3">
      <c r="B27" s="4" t="s">
        <v>38</v>
      </c>
      <c r="C27" s="4" t="s">
        <v>39</v>
      </c>
      <c r="D27" s="4" t="s">
        <v>40</v>
      </c>
      <c r="E27" s="4" t="s">
        <v>41</v>
      </c>
      <c r="F27" s="68" t="s">
        <v>255</v>
      </c>
      <c r="G27">
        <v>20000000</v>
      </c>
    </row>
    <row r="28" spans="1:7" x14ac:dyDescent="0.3">
      <c r="B28" s="72">
        <v>12200000</v>
      </c>
      <c r="C28" s="18">
        <f>$G$27/($G$27+B28)</f>
        <v>0.6211180124223602</v>
      </c>
      <c r="D28" s="19">
        <v>0.3788819875776398</v>
      </c>
      <c r="E28" s="7" t="s">
        <v>42</v>
      </c>
      <c r="F28" s="69">
        <f>B28/$B$28</f>
        <v>1</v>
      </c>
    </row>
    <row r="29" spans="1:7" x14ac:dyDescent="0.3">
      <c r="B29" s="72">
        <v>20000000</v>
      </c>
      <c r="C29" s="18">
        <f t="shared" ref="C29:C31" si="1">$G$27/($G$27+B29)</f>
        <v>0.5</v>
      </c>
      <c r="D29" s="19">
        <v>0.5</v>
      </c>
      <c r="E29" s="7" t="s">
        <v>43</v>
      </c>
      <c r="F29" s="69">
        <f t="shared" ref="F29:F32" si="2">B29/$B$28</f>
        <v>1.639344262295082</v>
      </c>
    </row>
    <row r="30" spans="1:7" x14ac:dyDescent="0.3">
      <c r="B30" s="73">
        <v>40000000</v>
      </c>
      <c r="C30" s="18">
        <f t="shared" si="1"/>
        <v>0.33333333333333331</v>
      </c>
      <c r="D30" s="20">
        <v>0.66666666666666674</v>
      </c>
      <c r="E30" s="7" t="s">
        <v>44</v>
      </c>
      <c r="F30" s="74">
        <f t="shared" si="2"/>
        <v>3.278688524590164</v>
      </c>
    </row>
    <row r="31" spans="1:7" x14ac:dyDescent="0.3">
      <c r="B31" s="8">
        <v>100000000</v>
      </c>
      <c r="C31" s="18">
        <f>$G$27/($G$27+B31)</f>
        <v>0.16666666666666666</v>
      </c>
      <c r="D31" s="20">
        <v>0.83333333333333337</v>
      </c>
      <c r="E31" s="7" t="s">
        <v>44</v>
      </c>
      <c r="F31" s="69">
        <f t="shared" si="2"/>
        <v>8.1967213114754092</v>
      </c>
    </row>
    <row r="32" spans="1:7" x14ac:dyDescent="0.3">
      <c r="A32" t="s">
        <v>251</v>
      </c>
      <c r="B32" s="8">
        <f>(G27/C32)-G27</f>
        <v>80000000</v>
      </c>
      <c r="C32" s="71">
        <v>0.2</v>
      </c>
      <c r="D32" s="20">
        <v>0.8</v>
      </c>
      <c r="E32" s="70" t="s">
        <v>256</v>
      </c>
      <c r="F32" s="69">
        <f t="shared" si="2"/>
        <v>6.557377049180328</v>
      </c>
      <c r="G32" t="s">
        <v>257</v>
      </c>
    </row>
    <row r="33" spans="2:6" ht="24" customHeight="1" x14ac:dyDescent="0.3">
      <c r="B33" s="45"/>
      <c r="C33" s="44"/>
      <c r="D33" s="44"/>
      <c r="E33" s="44"/>
      <c r="F33" s="44"/>
    </row>
    <row r="42" spans="2:6" x14ac:dyDescent="0.3">
      <c r="B42" t="s">
        <v>258</v>
      </c>
    </row>
    <row r="43" spans="2:6" x14ac:dyDescent="0.3">
      <c r="B43" t="s">
        <v>259</v>
      </c>
    </row>
    <row r="44" spans="2:6" x14ac:dyDescent="0.3">
      <c r="B44" t="s">
        <v>260</v>
      </c>
    </row>
  </sheetData>
  <mergeCells count="1">
    <mergeCell ref="B33:F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9"/>
  <sheetViews>
    <sheetView showGridLines="0" workbookViewId="0">
      <selection activeCell="B21" sqref="B21"/>
    </sheetView>
  </sheetViews>
  <sheetFormatPr defaultRowHeight="14.4" x14ac:dyDescent="0.3"/>
  <cols>
    <col min="1" max="1" width="3" style="46" customWidth="1"/>
    <col min="2" max="2" width="48" style="46" customWidth="1"/>
    <col min="3" max="4" width="18" style="46" customWidth="1"/>
    <col min="5" max="5" width="40" style="46" customWidth="1"/>
    <col min="6" max="16384" width="8.88671875" style="46"/>
  </cols>
  <sheetData>
    <row r="2" spans="1:5" ht="15.6" x14ac:dyDescent="0.3">
      <c r="B2" s="67" t="s">
        <v>45</v>
      </c>
    </row>
    <row r="3" spans="1:5" x14ac:dyDescent="0.3">
      <c r="B3" s="66" t="s">
        <v>254</v>
      </c>
    </row>
    <row r="5" spans="1:5" x14ac:dyDescent="0.3">
      <c r="B5" s="47" t="s">
        <v>46</v>
      </c>
      <c r="C5" s="47"/>
      <c r="D5" s="47"/>
      <c r="E5" s="47"/>
    </row>
    <row r="6" spans="1:5" x14ac:dyDescent="0.3">
      <c r="B6" s="48" t="s">
        <v>47</v>
      </c>
      <c r="C6" s="48" t="s">
        <v>48</v>
      </c>
      <c r="D6" s="48" t="s">
        <v>49</v>
      </c>
      <c r="E6" s="48" t="s">
        <v>50</v>
      </c>
    </row>
    <row r="7" spans="1:5" x14ac:dyDescent="0.3">
      <c r="B7" s="49" t="s">
        <v>51</v>
      </c>
      <c r="C7" s="49">
        <v>6090900</v>
      </c>
      <c r="D7" s="49">
        <f t="shared" ref="D7:D15" si="0">C7/100000</f>
        <v>60.908999999999999</v>
      </c>
      <c r="E7" s="50" t="s">
        <v>52</v>
      </c>
    </row>
    <row r="8" spans="1:5" x14ac:dyDescent="0.3">
      <c r="B8" s="49" t="s">
        <v>53</v>
      </c>
      <c r="C8" s="49">
        <v>19540</v>
      </c>
      <c r="D8" s="49">
        <f t="shared" si="0"/>
        <v>0.19539999999999999</v>
      </c>
      <c r="E8" s="50" t="s">
        <v>54</v>
      </c>
    </row>
    <row r="9" spans="1:5" x14ac:dyDescent="0.3">
      <c r="B9" s="49" t="s">
        <v>55</v>
      </c>
      <c r="C9" s="49">
        <v>-1007680</v>
      </c>
      <c r="D9" s="49">
        <f t="shared" si="0"/>
        <v>-10.0768</v>
      </c>
      <c r="E9" s="50" t="s">
        <v>56</v>
      </c>
    </row>
    <row r="10" spans="1:5" x14ac:dyDescent="0.3">
      <c r="B10" s="49" t="s">
        <v>57</v>
      </c>
      <c r="C10" s="49">
        <v>-91700</v>
      </c>
      <c r="D10" s="49">
        <f t="shared" si="0"/>
        <v>-0.91700000000000004</v>
      </c>
      <c r="E10" s="50" t="s">
        <v>58</v>
      </c>
    </row>
    <row r="11" spans="1:5" x14ac:dyDescent="0.3">
      <c r="B11" s="49" t="s">
        <v>59</v>
      </c>
      <c r="C11" s="49">
        <v>-22650</v>
      </c>
      <c r="D11" s="49">
        <f t="shared" si="0"/>
        <v>-0.22650000000000001</v>
      </c>
      <c r="E11" s="50" t="s">
        <v>60</v>
      </c>
    </row>
    <row r="12" spans="1:5" x14ac:dyDescent="0.3">
      <c r="B12" s="49" t="s">
        <v>61</v>
      </c>
      <c r="C12" s="49">
        <v>-3214710</v>
      </c>
      <c r="D12" s="49">
        <f t="shared" si="0"/>
        <v>-32.147100000000002</v>
      </c>
      <c r="E12" s="50" t="s">
        <v>62</v>
      </c>
    </row>
    <row r="13" spans="1:5" x14ac:dyDescent="0.3">
      <c r="A13" s="46" t="s">
        <v>251</v>
      </c>
      <c r="B13" s="51" t="s">
        <v>63</v>
      </c>
      <c r="C13" s="51">
        <f>SUM(C7:C12)</f>
        <v>1773700</v>
      </c>
      <c r="D13" s="51">
        <f t="shared" si="0"/>
        <v>17.736999999999998</v>
      </c>
      <c r="E13" s="52" t="s">
        <v>64</v>
      </c>
    </row>
    <row r="14" spans="1:5" x14ac:dyDescent="0.3">
      <c r="B14" s="49" t="s">
        <v>65</v>
      </c>
      <c r="C14" s="49">
        <v>-514760</v>
      </c>
      <c r="D14" s="49">
        <f t="shared" si="0"/>
        <v>-5.1475999999999997</v>
      </c>
      <c r="E14" s="50" t="s">
        <v>66</v>
      </c>
    </row>
    <row r="15" spans="1:5" x14ac:dyDescent="0.3">
      <c r="A15" s="46" t="s">
        <v>251</v>
      </c>
      <c r="B15" s="51" t="s">
        <v>67</v>
      </c>
      <c r="C15" s="51">
        <f>C13+C14</f>
        <v>1258940</v>
      </c>
      <c r="D15" s="51">
        <f t="shared" si="0"/>
        <v>12.589399999999999</v>
      </c>
      <c r="E15" s="52" t="s">
        <v>68</v>
      </c>
    </row>
    <row r="17" spans="1:5" x14ac:dyDescent="0.3">
      <c r="B17" s="47" t="s">
        <v>69</v>
      </c>
      <c r="C17" s="47"/>
      <c r="D17" s="47"/>
      <c r="E17" s="47"/>
    </row>
    <row r="18" spans="1:5" x14ac:dyDescent="0.3">
      <c r="B18" s="48" t="s">
        <v>70</v>
      </c>
      <c r="C18" s="48" t="s">
        <v>48</v>
      </c>
      <c r="D18" s="48" t="s">
        <v>49</v>
      </c>
      <c r="E18" s="48" t="s">
        <v>71</v>
      </c>
    </row>
    <row r="19" spans="1:5" x14ac:dyDescent="0.3">
      <c r="B19" s="49" t="s">
        <v>63</v>
      </c>
      <c r="C19" s="49">
        <v>1773700</v>
      </c>
      <c r="D19" s="49">
        <f t="shared" ref="D19:D25" si="1">C19/100000</f>
        <v>17.736999999999998</v>
      </c>
      <c r="E19" s="50" t="s">
        <v>72</v>
      </c>
    </row>
    <row r="20" spans="1:5" x14ac:dyDescent="0.3">
      <c r="B20" s="49" t="s">
        <v>73</v>
      </c>
      <c r="C20" s="49">
        <v>91700</v>
      </c>
      <c r="D20" s="49">
        <f t="shared" si="1"/>
        <v>0.91700000000000004</v>
      </c>
      <c r="E20" s="50" t="s">
        <v>74</v>
      </c>
    </row>
    <row r="21" spans="1:5" x14ac:dyDescent="0.3">
      <c r="B21" s="49" t="s">
        <v>75</v>
      </c>
      <c r="C21" s="49">
        <v>22650</v>
      </c>
      <c r="D21" s="49">
        <f t="shared" si="1"/>
        <v>0.22650000000000001</v>
      </c>
      <c r="E21" s="50" t="s">
        <v>76</v>
      </c>
    </row>
    <row r="22" spans="1:5" x14ac:dyDescent="0.3">
      <c r="B22" s="49" t="s">
        <v>77</v>
      </c>
      <c r="C22" s="49">
        <v>203070</v>
      </c>
      <c r="D22" s="49">
        <f t="shared" si="1"/>
        <v>2.0306999999999999</v>
      </c>
      <c r="E22" s="50" t="s">
        <v>78</v>
      </c>
    </row>
    <row r="23" spans="1:5" x14ac:dyDescent="0.3">
      <c r="B23" s="49" t="s">
        <v>79</v>
      </c>
      <c r="C23" s="49">
        <v>202640</v>
      </c>
      <c r="D23" s="49">
        <f t="shared" si="1"/>
        <v>2.0264000000000002</v>
      </c>
      <c r="E23" s="50" t="s">
        <v>80</v>
      </c>
    </row>
    <row r="24" spans="1:5" x14ac:dyDescent="0.3">
      <c r="B24" s="49" t="s">
        <v>81</v>
      </c>
      <c r="C24" s="49">
        <v>-19540</v>
      </c>
      <c r="D24" s="49">
        <f t="shared" si="1"/>
        <v>-0.19539999999999999</v>
      </c>
      <c r="E24" s="50" t="s">
        <v>82</v>
      </c>
    </row>
    <row r="25" spans="1:5" x14ac:dyDescent="0.3">
      <c r="A25" s="46" t="s">
        <v>251</v>
      </c>
      <c r="B25" s="53" t="s">
        <v>83</v>
      </c>
      <c r="C25" s="53">
        <f>SUM(C19:C24)</f>
        <v>2274220</v>
      </c>
      <c r="D25" s="53">
        <f t="shared" si="1"/>
        <v>22.7422</v>
      </c>
      <c r="E25" s="54" t="s">
        <v>84</v>
      </c>
    </row>
    <row r="26" spans="1:5" x14ac:dyDescent="0.3">
      <c r="B26" s="49" t="s">
        <v>85</v>
      </c>
      <c r="C26" s="49">
        <f>C25/C7</f>
        <v>0.37337996026859743</v>
      </c>
      <c r="E26" s="50" t="s">
        <v>86</v>
      </c>
    </row>
    <row r="28" spans="1:5" x14ac:dyDescent="0.3">
      <c r="B28" s="47" t="s">
        <v>87</v>
      </c>
      <c r="C28" s="47"/>
      <c r="D28" s="47"/>
      <c r="E28" s="47"/>
    </row>
    <row r="29" spans="1:5" x14ac:dyDescent="0.3">
      <c r="B29" s="48" t="s">
        <v>47</v>
      </c>
      <c r="C29" s="48" t="s">
        <v>48</v>
      </c>
      <c r="D29" s="48" t="s">
        <v>49</v>
      </c>
      <c r="E29" s="48" t="s">
        <v>50</v>
      </c>
    </row>
    <row r="30" spans="1:5" x14ac:dyDescent="0.3">
      <c r="B30" s="49" t="s">
        <v>88</v>
      </c>
      <c r="C30" s="49">
        <v>18133990</v>
      </c>
      <c r="D30" s="49">
        <f>C30/100000</f>
        <v>181.3399</v>
      </c>
      <c r="E30" s="50" t="s">
        <v>89</v>
      </c>
    </row>
    <row r="31" spans="1:5" x14ac:dyDescent="0.3">
      <c r="B31" s="49" t="s">
        <v>90</v>
      </c>
      <c r="C31" s="49">
        <v>-16815045</v>
      </c>
      <c r="D31" s="49">
        <f>C31/100000</f>
        <v>-168.15045000000001</v>
      </c>
      <c r="E31" s="50" t="s">
        <v>91</v>
      </c>
    </row>
    <row r="32" spans="1:5" x14ac:dyDescent="0.3">
      <c r="A32" s="46" t="s">
        <v>251</v>
      </c>
      <c r="B32" s="53" t="s">
        <v>92</v>
      </c>
      <c r="C32" s="53">
        <f>SUM(C30:C31)</f>
        <v>1318945</v>
      </c>
      <c r="D32" s="53">
        <f>C32/100000</f>
        <v>13.189450000000001</v>
      </c>
      <c r="E32" s="54" t="s">
        <v>93</v>
      </c>
    </row>
    <row r="33" spans="1:5" x14ac:dyDescent="0.3">
      <c r="B33" s="49" t="s">
        <v>94</v>
      </c>
      <c r="C33" s="49">
        <v>6000</v>
      </c>
      <c r="E33" s="50" t="s">
        <v>95</v>
      </c>
    </row>
    <row r="34" spans="1:5" x14ac:dyDescent="0.3">
      <c r="B34" s="55" t="s">
        <v>96</v>
      </c>
      <c r="C34" s="55">
        <f>C32/C33</f>
        <v>219.82416666666666</v>
      </c>
      <c r="E34" s="50" t="s">
        <v>97</v>
      </c>
    </row>
    <row r="35" spans="1:5" x14ac:dyDescent="0.3">
      <c r="B35" s="49" t="s">
        <v>98</v>
      </c>
      <c r="C35" s="49">
        <v>16228190</v>
      </c>
      <c r="D35" s="49">
        <f>C35/100000</f>
        <v>162.28190000000001</v>
      </c>
      <c r="E35" s="50" t="s">
        <v>99</v>
      </c>
    </row>
    <row r="36" spans="1:5" x14ac:dyDescent="0.3">
      <c r="B36" s="49" t="s">
        <v>100</v>
      </c>
      <c r="C36" s="49">
        <v>-2346984</v>
      </c>
      <c r="D36" s="49">
        <f>C36/100000</f>
        <v>-23.469840000000001</v>
      </c>
      <c r="E36" s="50" t="s">
        <v>101</v>
      </c>
    </row>
    <row r="37" spans="1:5" x14ac:dyDescent="0.3">
      <c r="A37" s="46" t="s">
        <v>251</v>
      </c>
      <c r="B37" s="53" t="s">
        <v>102</v>
      </c>
      <c r="C37" s="53">
        <f>C35+C36</f>
        <v>13881206</v>
      </c>
      <c r="D37" s="53">
        <f>C37/100000</f>
        <v>138.81206</v>
      </c>
      <c r="E37" s="54" t="s">
        <v>103</v>
      </c>
    </row>
    <row r="39" spans="1:5" ht="24" customHeight="1" x14ac:dyDescent="0.3">
      <c r="B39" s="56" t="s">
        <v>104</v>
      </c>
      <c r="C39" s="57"/>
      <c r="D39" s="57"/>
      <c r="E39" s="57"/>
    </row>
  </sheetData>
  <mergeCells count="1">
    <mergeCell ref="B39:E39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2"/>
  <sheetViews>
    <sheetView workbookViewId="0">
      <selection activeCell="C9" sqref="C9"/>
    </sheetView>
  </sheetViews>
  <sheetFormatPr defaultRowHeight="14.4" x14ac:dyDescent="0.3"/>
  <cols>
    <col min="1" max="1" width="3" customWidth="1"/>
    <col min="2" max="2" width="44" customWidth="1"/>
    <col min="3" max="8" width="14" customWidth="1"/>
    <col min="9" max="9" width="34" customWidth="1"/>
  </cols>
  <sheetData>
    <row r="2" spans="2:9" ht="21" x14ac:dyDescent="0.4">
      <c r="B2" s="1" t="s">
        <v>105</v>
      </c>
    </row>
    <row r="3" spans="2:9" x14ac:dyDescent="0.3">
      <c r="B3" s="2" t="s">
        <v>106</v>
      </c>
    </row>
    <row r="5" spans="2:9" x14ac:dyDescent="0.3">
      <c r="B5" s="3" t="s">
        <v>107</v>
      </c>
      <c r="C5" s="3"/>
      <c r="I5" s="3"/>
    </row>
    <row r="6" spans="2:9" x14ac:dyDescent="0.3">
      <c r="B6" s="5" t="s">
        <v>108</v>
      </c>
      <c r="C6" s="27">
        <v>39296.129032258068</v>
      </c>
      <c r="I6" s="7" t="s">
        <v>109</v>
      </c>
    </row>
    <row r="7" spans="2:9" x14ac:dyDescent="0.3">
      <c r="B7" s="5" t="s">
        <v>110</v>
      </c>
      <c r="C7" s="28">
        <v>7.0000000000000007E-2</v>
      </c>
      <c r="I7" s="7" t="s">
        <v>111</v>
      </c>
    </row>
    <row r="8" spans="2:9" x14ac:dyDescent="0.3">
      <c r="B8" s="5" t="s">
        <v>112</v>
      </c>
      <c r="C8" s="28">
        <v>0.26</v>
      </c>
      <c r="I8" s="7" t="s">
        <v>113</v>
      </c>
    </row>
    <row r="9" spans="2:9" x14ac:dyDescent="0.3">
      <c r="B9" s="5" t="s">
        <v>114</v>
      </c>
      <c r="C9" s="28">
        <f>'DCF'!$C$15</f>
        <v>0.2007</v>
      </c>
      <c r="I9" s="7" t="s">
        <v>115</v>
      </c>
    </row>
    <row r="10" spans="2:9" x14ac:dyDescent="0.3">
      <c r="B10" s="5" t="s">
        <v>116</v>
      </c>
      <c r="C10" s="28">
        <v>0.05</v>
      </c>
      <c r="I10" s="7" t="s">
        <v>117</v>
      </c>
    </row>
    <row r="11" spans="2:9" x14ac:dyDescent="0.3">
      <c r="B11" s="5" t="s">
        <v>118</v>
      </c>
      <c r="C11" s="28">
        <v>0.04</v>
      </c>
      <c r="I11" s="7" t="s">
        <v>119</v>
      </c>
    </row>
    <row r="12" spans="2:9" x14ac:dyDescent="0.3">
      <c r="B12" s="5" t="s">
        <v>120</v>
      </c>
      <c r="C12" s="27">
        <v>1200000</v>
      </c>
      <c r="I12" s="7" t="s">
        <v>121</v>
      </c>
    </row>
    <row r="13" spans="2:9" x14ac:dyDescent="0.3">
      <c r="B13" s="5" t="s">
        <v>122</v>
      </c>
      <c r="C13" s="28">
        <v>0.05</v>
      </c>
      <c r="I13" s="7" t="s">
        <v>123</v>
      </c>
    </row>
    <row r="15" spans="2:9" x14ac:dyDescent="0.3">
      <c r="B15" s="3" t="s">
        <v>124</v>
      </c>
      <c r="C15" s="3"/>
      <c r="D15" s="3"/>
      <c r="E15" s="3"/>
      <c r="F15" s="3"/>
      <c r="G15" s="3"/>
      <c r="H15" s="3"/>
      <c r="I15" s="3"/>
    </row>
    <row r="16" spans="2:9" x14ac:dyDescent="0.3">
      <c r="B16" s="29" t="s">
        <v>125</v>
      </c>
      <c r="C16" s="4" t="s">
        <v>126</v>
      </c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29" t="s">
        <v>21</v>
      </c>
    </row>
    <row r="17" spans="2:9" x14ac:dyDescent="0.3">
      <c r="B17" s="5" t="s">
        <v>132</v>
      </c>
      <c r="C17" s="8">
        <f>$C$6*(1+$C$7)</f>
        <v>42046.858064516135</v>
      </c>
      <c r="D17" s="8">
        <f>C17*(1+$C$7)</f>
        <v>44990.138129032268</v>
      </c>
      <c r="E17" s="8">
        <f>D17*(1+$C$7)</f>
        <v>48139.447798064532</v>
      </c>
      <c r="F17" s="8">
        <f>E17*(1+$C$7)</f>
        <v>51509.209143929053</v>
      </c>
      <c r="G17" s="8">
        <f>F17*(1+$C$7)</f>
        <v>55114.853784004088</v>
      </c>
      <c r="H17" s="8">
        <f>G17*(1+$C$7)</f>
        <v>58972.893548884378</v>
      </c>
      <c r="I17" s="7" t="s">
        <v>133</v>
      </c>
    </row>
    <row r="19" spans="2:9" x14ac:dyDescent="0.3">
      <c r="B19" s="3" t="s">
        <v>134</v>
      </c>
      <c r="C19" s="3"/>
      <c r="D19" s="3"/>
      <c r="E19" s="3"/>
      <c r="F19" s="3"/>
      <c r="G19" s="3"/>
      <c r="H19" s="3"/>
      <c r="I19" s="3"/>
    </row>
    <row r="20" spans="2:9" x14ac:dyDescent="0.3">
      <c r="B20" s="29" t="s">
        <v>135</v>
      </c>
      <c r="C20" s="4" t="s">
        <v>126</v>
      </c>
      <c r="D20" s="4" t="s">
        <v>127</v>
      </c>
      <c r="E20" s="4" t="s">
        <v>128</v>
      </c>
      <c r="F20" s="4" t="s">
        <v>129</v>
      </c>
      <c r="G20" s="4" t="s">
        <v>130</v>
      </c>
      <c r="H20" s="4" t="s">
        <v>131</v>
      </c>
      <c r="I20" s="29" t="s">
        <v>136</v>
      </c>
    </row>
    <row r="21" spans="2:9" ht="25.95" customHeight="1" x14ac:dyDescent="0.3">
      <c r="B21" s="25" t="s">
        <v>137</v>
      </c>
      <c r="C21" s="30">
        <v>190</v>
      </c>
      <c r="D21" s="30">
        <v>215</v>
      </c>
      <c r="E21" s="30">
        <v>245</v>
      </c>
      <c r="F21" s="30">
        <v>280</v>
      </c>
      <c r="G21" s="30">
        <v>320</v>
      </c>
      <c r="H21" s="30">
        <v>360</v>
      </c>
      <c r="I21" s="31" t="s">
        <v>138</v>
      </c>
    </row>
    <row r="22" spans="2:9" ht="25.95" customHeight="1" x14ac:dyDescent="0.3">
      <c r="B22" s="25" t="s">
        <v>139</v>
      </c>
      <c r="C22" s="30">
        <v>200</v>
      </c>
      <c r="D22" s="30">
        <v>250</v>
      </c>
      <c r="E22" s="30">
        <v>310</v>
      </c>
      <c r="F22" s="30">
        <v>370</v>
      </c>
      <c r="G22" s="30">
        <v>460</v>
      </c>
      <c r="H22" s="30">
        <v>540</v>
      </c>
      <c r="I22" s="31" t="s">
        <v>140</v>
      </c>
    </row>
    <row r="23" spans="2:9" ht="25.95" customHeight="1" x14ac:dyDescent="0.3">
      <c r="B23" s="25" t="s">
        <v>141</v>
      </c>
      <c r="C23" s="30">
        <v>200</v>
      </c>
      <c r="D23" s="30">
        <v>275</v>
      </c>
      <c r="E23" s="30">
        <v>375</v>
      </c>
      <c r="F23" s="30">
        <v>485</v>
      </c>
      <c r="G23" s="30">
        <v>605</v>
      </c>
      <c r="H23" s="30">
        <v>705</v>
      </c>
      <c r="I23" s="31" t="s">
        <v>142</v>
      </c>
    </row>
    <row r="25" spans="2:9" x14ac:dyDescent="0.3">
      <c r="B25" s="21" t="s">
        <v>143</v>
      </c>
      <c r="C25" s="32" t="s">
        <v>144</v>
      </c>
      <c r="D25" s="32" t="s">
        <v>145</v>
      </c>
      <c r="E25" s="32" t="s">
        <v>146</v>
      </c>
      <c r="F25" s="32" t="s">
        <v>147</v>
      </c>
      <c r="G25" s="32" t="s">
        <v>148</v>
      </c>
      <c r="H25" s="32" t="s">
        <v>149</v>
      </c>
      <c r="I25" s="23" t="s">
        <v>150</v>
      </c>
    </row>
    <row r="27" spans="2:9" x14ac:dyDescent="0.3">
      <c r="B27" s="3" t="s">
        <v>151</v>
      </c>
      <c r="C27" s="3"/>
      <c r="D27" s="3"/>
      <c r="E27" s="3"/>
      <c r="F27" s="3"/>
      <c r="G27" s="3"/>
      <c r="H27" s="3"/>
      <c r="I27" s="3"/>
    </row>
    <row r="28" spans="2:9" x14ac:dyDescent="0.3">
      <c r="B28" s="29" t="s">
        <v>152</v>
      </c>
      <c r="C28" s="4" t="s">
        <v>126</v>
      </c>
      <c r="D28" s="4" t="s">
        <v>127</v>
      </c>
      <c r="E28" s="4" t="s">
        <v>128</v>
      </c>
      <c r="F28" s="4" t="s">
        <v>129</v>
      </c>
      <c r="G28" s="4" t="s">
        <v>130</v>
      </c>
      <c r="H28" s="4" t="s">
        <v>131</v>
      </c>
      <c r="I28" s="29" t="s">
        <v>21</v>
      </c>
    </row>
    <row r="29" spans="2:9" ht="40.049999999999997" customHeight="1" x14ac:dyDescent="0.3">
      <c r="B29" s="5" t="s">
        <v>153</v>
      </c>
      <c r="C29" s="33">
        <v>0.26</v>
      </c>
      <c r="D29" s="33">
        <v>0.28000000000000003</v>
      </c>
      <c r="E29" s="33">
        <v>0.31</v>
      </c>
      <c r="F29" s="33">
        <v>0.34</v>
      </c>
      <c r="G29" s="33">
        <v>0.37</v>
      </c>
      <c r="H29" s="33">
        <v>0.39</v>
      </c>
      <c r="I29" s="31" t="s">
        <v>154</v>
      </c>
    </row>
    <row r="30" spans="2:9" ht="30" customHeight="1" x14ac:dyDescent="0.3">
      <c r="B30" s="5" t="s">
        <v>155</v>
      </c>
      <c r="C30" s="33">
        <v>0.32</v>
      </c>
      <c r="D30" s="33">
        <v>0.31</v>
      </c>
      <c r="E30" s="33">
        <v>0.3</v>
      </c>
      <c r="F30" s="33">
        <v>0.28999999999999998</v>
      </c>
      <c r="G30" s="33">
        <v>0.28000000000000003</v>
      </c>
      <c r="H30" s="33">
        <v>0.27</v>
      </c>
      <c r="I30" s="31" t="s">
        <v>156</v>
      </c>
    </row>
    <row r="31" spans="2:9" x14ac:dyDescent="0.3">
      <c r="B31" s="5" t="s">
        <v>157</v>
      </c>
      <c r="C31" s="8">
        <f>$C$12</f>
        <v>1200000</v>
      </c>
      <c r="D31" s="8">
        <f>C31*(1+$C$13)</f>
        <v>1260000</v>
      </c>
      <c r="E31" s="8">
        <f>D31*(1+$C$13)</f>
        <v>1323000</v>
      </c>
      <c r="F31" s="8">
        <f>E31*(1+$C$13)</f>
        <v>1389150</v>
      </c>
      <c r="G31" s="8">
        <f>F31*(1+$C$13)</f>
        <v>1458607.5</v>
      </c>
      <c r="H31" s="8">
        <f>G31*(1+$C$13)</f>
        <v>1531537.875</v>
      </c>
      <c r="I31" s="7" t="s">
        <v>158</v>
      </c>
    </row>
    <row r="32" spans="2:9" ht="28.05" customHeight="1" x14ac:dyDescent="0.3">
      <c r="B32" s="5" t="s">
        <v>159</v>
      </c>
      <c r="C32" s="27">
        <v>700000</v>
      </c>
      <c r="D32" s="27">
        <v>710000</v>
      </c>
      <c r="E32" s="27">
        <v>710000</v>
      </c>
      <c r="F32" s="27">
        <v>710000</v>
      </c>
      <c r="G32" s="27">
        <v>510000</v>
      </c>
      <c r="H32" s="27">
        <v>510000</v>
      </c>
      <c r="I32" s="31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3"/>
  <sheetViews>
    <sheetView workbookViewId="0">
      <selection activeCell="A10" sqref="A10"/>
    </sheetView>
  </sheetViews>
  <sheetFormatPr defaultRowHeight="14.4" x14ac:dyDescent="0.3"/>
  <cols>
    <col min="1" max="1" width="3" customWidth="1"/>
    <col min="2" max="2" width="44" customWidth="1"/>
    <col min="3" max="8" width="15" customWidth="1"/>
  </cols>
  <sheetData>
    <row r="2" spans="1:10" ht="21" x14ac:dyDescent="0.4">
      <c r="B2" s="1" t="s">
        <v>161</v>
      </c>
    </row>
    <row r="3" spans="1:10" x14ac:dyDescent="0.3">
      <c r="B3" s="63" t="s">
        <v>252</v>
      </c>
    </row>
    <row r="4" spans="1:10" s="65" customFormat="1" ht="14.4" customHeight="1" x14ac:dyDescent="0.3">
      <c r="J4" s="64" t="s">
        <v>253</v>
      </c>
    </row>
    <row r="5" spans="1:10" x14ac:dyDescent="0.3">
      <c r="B5" s="3" t="s">
        <v>162</v>
      </c>
      <c r="C5" s="3"/>
      <c r="D5" s="3"/>
      <c r="E5" s="3"/>
      <c r="F5" s="3"/>
      <c r="G5" s="3"/>
      <c r="H5" s="3"/>
    </row>
    <row r="6" spans="1:10" x14ac:dyDescent="0.3">
      <c r="B6" s="29" t="s">
        <v>48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4" t="s">
        <v>131</v>
      </c>
    </row>
    <row r="7" spans="1:10" x14ac:dyDescent="0.3">
      <c r="B7" s="5" t="s">
        <v>163</v>
      </c>
      <c r="C7" s="34">
        <f>Assumptions!C21</f>
        <v>190</v>
      </c>
      <c r="D7" s="34">
        <f>Assumptions!D21</f>
        <v>215</v>
      </c>
      <c r="E7" s="34">
        <f>Assumptions!E21</f>
        <v>245</v>
      </c>
      <c r="F7" s="34">
        <f>Assumptions!F21</f>
        <v>280</v>
      </c>
      <c r="G7" s="34">
        <f>Assumptions!G21</f>
        <v>320</v>
      </c>
      <c r="H7" s="34">
        <f>Assumptions!H21</f>
        <v>360</v>
      </c>
    </row>
    <row r="8" spans="1:10" x14ac:dyDescent="0.3">
      <c r="B8" s="5" t="s">
        <v>132</v>
      </c>
      <c r="C8" s="6">
        <f>Assumptions!C17</f>
        <v>42046.858064516135</v>
      </c>
      <c r="D8" s="6">
        <f>Assumptions!D17</f>
        <v>44990.138129032268</v>
      </c>
      <c r="E8" s="6">
        <f>Assumptions!E17</f>
        <v>48139.447798064532</v>
      </c>
      <c r="F8" s="6">
        <f>Assumptions!F17</f>
        <v>51509.209143929053</v>
      </c>
      <c r="G8" s="6">
        <f>Assumptions!G17</f>
        <v>55114.853784004088</v>
      </c>
      <c r="H8" s="6">
        <f>Assumptions!H17</f>
        <v>58972.893548884378</v>
      </c>
    </row>
    <row r="9" spans="1:10" x14ac:dyDescent="0.3">
      <c r="A9" t="s">
        <v>251</v>
      </c>
      <c r="B9" s="21" t="s">
        <v>164</v>
      </c>
      <c r="C9" s="22">
        <f t="shared" ref="C9:H9" si="0">C7*C8</f>
        <v>7988903.0322580654</v>
      </c>
      <c r="D9" s="22">
        <f t="shared" si="0"/>
        <v>9672879.6977419369</v>
      </c>
      <c r="E9" s="22">
        <f t="shared" si="0"/>
        <v>11794164.710525811</v>
      </c>
      <c r="F9" s="22">
        <f t="shared" si="0"/>
        <v>14422578.560300134</v>
      </c>
      <c r="G9" s="22">
        <f t="shared" si="0"/>
        <v>17636753.210881308</v>
      </c>
      <c r="H9" s="22">
        <f t="shared" si="0"/>
        <v>21230241.677598376</v>
      </c>
    </row>
    <row r="10" spans="1:10" x14ac:dyDescent="0.3">
      <c r="B10" s="5" t="s">
        <v>165</v>
      </c>
      <c r="C10" s="35" t="s">
        <v>166</v>
      </c>
      <c r="D10" s="35">
        <f>D9/C9-1</f>
        <v>0.21078947368421064</v>
      </c>
      <c r="E10" s="35">
        <f>E9/D9-1</f>
        <v>0.21930232558139551</v>
      </c>
      <c r="F10" s="35">
        <f>F9/E9-1</f>
        <v>0.22285714285714286</v>
      </c>
      <c r="G10" s="35">
        <f>G9/F9-1</f>
        <v>0.22285714285714286</v>
      </c>
      <c r="H10" s="35">
        <f>H9/G9-1</f>
        <v>0.2037500000000001</v>
      </c>
    </row>
    <row r="11" spans="1:10" x14ac:dyDescent="0.3">
      <c r="B11" s="5" t="s">
        <v>167</v>
      </c>
      <c r="C11" s="8">
        <f>-C9*Assumptions!C29</f>
        <v>-2077114.7883870972</v>
      </c>
      <c r="D11" s="8">
        <f>-D9*Assumptions!D29</f>
        <v>-2708406.3153677424</v>
      </c>
      <c r="E11" s="8">
        <f>-E9*Assumptions!E29</f>
        <v>-3656191.0602630014</v>
      </c>
      <c r="F11" s="8">
        <f>-F9*Assumptions!F29</f>
        <v>-4903676.7105020462</v>
      </c>
      <c r="G11" s="8">
        <f>-G9*Assumptions!G29</f>
        <v>-6525598.6880260836</v>
      </c>
      <c r="H11" s="8">
        <f>-H9*Assumptions!H29</f>
        <v>-8279794.2542633666</v>
      </c>
    </row>
    <row r="12" spans="1:10" x14ac:dyDescent="0.3">
      <c r="B12" s="5" t="s">
        <v>168</v>
      </c>
      <c r="C12" s="6">
        <f>-Assumptions!C31</f>
        <v>-1200000</v>
      </c>
      <c r="D12" s="6">
        <f>-Assumptions!D31</f>
        <v>-1260000</v>
      </c>
      <c r="E12" s="6">
        <f>-Assumptions!E31</f>
        <v>-1323000</v>
      </c>
      <c r="F12" s="6">
        <f>-Assumptions!F31</f>
        <v>-1389150</v>
      </c>
      <c r="G12" s="6">
        <f>-Assumptions!G31</f>
        <v>-1458607.5</v>
      </c>
      <c r="H12" s="6">
        <f>-Assumptions!H31</f>
        <v>-1531537.875</v>
      </c>
    </row>
    <row r="13" spans="1:10" x14ac:dyDescent="0.3">
      <c r="B13" s="5" t="s">
        <v>169</v>
      </c>
      <c r="C13" s="8">
        <f>-C9*Assumptions!C30</f>
        <v>-2556448.970322581</v>
      </c>
      <c r="D13" s="8">
        <f>-D9*Assumptions!D30</f>
        <v>-2998592.7063000002</v>
      </c>
      <c r="E13" s="8">
        <f>-E9*Assumptions!E30</f>
        <v>-3538249.4131577429</v>
      </c>
      <c r="F13" s="8">
        <f>-F9*Assumptions!F30</f>
        <v>-4182547.7824870385</v>
      </c>
      <c r="G13" s="8">
        <f>-G9*Assumptions!G30</f>
        <v>-4938290.8990467666</v>
      </c>
      <c r="H13" s="8">
        <f>-H9*Assumptions!H30</f>
        <v>-5732165.2529515615</v>
      </c>
    </row>
    <row r="14" spans="1:10" x14ac:dyDescent="0.3">
      <c r="A14" t="s">
        <v>251</v>
      </c>
      <c r="B14" s="12" t="s">
        <v>170</v>
      </c>
      <c r="C14" s="24">
        <f t="shared" ref="C14:H14" si="1">SUM(C9:C13)</f>
        <v>2155339.273548387</v>
      </c>
      <c r="D14" s="24">
        <f t="shared" si="1"/>
        <v>2705880.886863668</v>
      </c>
      <c r="E14" s="24">
        <f t="shared" si="1"/>
        <v>3276724.4564073929</v>
      </c>
      <c r="F14" s="24">
        <f t="shared" si="1"/>
        <v>3947204.2901681922</v>
      </c>
      <c r="G14" s="24">
        <f t="shared" si="1"/>
        <v>4714256.3466656012</v>
      </c>
      <c r="H14" s="24">
        <f t="shared" si="1"/>
        <v>5686744.4991334463</v>
      </c>
    </row>
    <row r="15" spans="1:10" x14ac:dyDescent="0.3">
      <c r="B15" s="5" t="s">
        <v>171</v>
      </c>
      <c r="C15" s="35">
        <f t="shared" ref="C15:H15" si="2">C14/C9</f>
        <v>0.2697916428382508</v>
      </c>
      <c r="D15" s="35">
        <f t="shared" si="2"/>
        <v>0.27973891658089534</v>
      </c>
      <c r="E15" s="35">
        <f t="shared" si="2"/>
        <v>0.27782590262479973</v>
      </c>
      <c r="F15" s="35">
        <f t="shared" si="2"/>
        <v>0.27368228737081329</v>
      </c>
      <c r="G15" s="35">
        <f t="shared" si="2"/>
        <v>0.26729729051019763</v>
      </c>
      <c r="H15" s="35">
        <f t="shared" si="2"/>
        <v>0.26786056350615911</v>
      </c>
    </row>
    <row r="16" spans="1:10" x14ac:dyDescent="0.3">
      <c r="B16" s="5" t="s">
        <v>59</v>
      </c>
      <c r="C16" s="6">
        <f>-Assumptions!C32</f>
        <v>-700000</v>
      </c>
      <c r="D16" s="6">
        <f>-Assumptions!D32</f>
        <v>-710000</v>
      </c>
      <c r="E16" s="6">
        <f>-Assumptions!E32</f>
        <v>-710000</v>
      </c>
      <c r="F16" s="6">
        <f>-Assumptions!F32</f>
        <v>-710000</v>
      </c>
      <c r="G16" s="6">
        <f>-Assumptions!G32</f>
        <v>-510000</v>
      </c>
      <c r="H16" s="6">
        <f>-Assumptions!H32</f>
        <v>-510000</v>
      </c>
    </row>
    <row r="17" spans="1:8" x14ac:dyDescent="0.3">
      <c r="B17" s="25" t="s">
        <v>172</v>
      </c>
      <c r="C17" s="26">
        <f t="shared" ref="C17:H17" si="3">C14+C16</f>
        <v>1455339.273548387</v>
      </c>
      <c r="D17" s="26">
        <f t="shared" si="3"/>
        <v>1995880.886863668</v>
      </c>
      <c r="E17" s="26">
        <f t="shared" si="3"/>
        <v>2566724.4564073929</v>
      </c>
      <c r="F17" s="26">
        <f t="shared" si="3"/>
        <v>3237204.2901681922</v>
      </c>
      <c r="G17" s="26">
        <f t="shared" si="3"/>
        <v>4204256.3466656012</v>
      </c>
      <c r="H17" s="26">
        <f t="shared" si="3"/>
        <v>5176744.4991334463</v>
      </c>
    </row>
    <row r="18" spans="1:8" x14ac:dyDescent="0.3">
      <c r="B18" s="5" t="s">
        <v>173</v>
      </c>
      <c r="C18" s="8">
        <f>-C17*Assumptions!$C$8</f>
        <v>-378388.21112258063</v>
      </c>
      <c r="D18" s="8">
        <f>-D17*Assumptions!$C$8</f>
        <v>-518929.03058455372</v>
      </c>
      <c r="E18" s="8">
        <f>-E17*Assumptions!$C$8</f>
        <v>-667348.35866592219</v>
      </c>
      <c r="F18" s="8">
        <f>-F17*Assumptions!$C$8</f>
        <v>-841673.11544373003</v>
      </c>
      <c r="G18" s="8">
        <f>-G17*Assumptions!$C$8</f>
        <v>-1093106.6501330563</v>
      </c>
      <c r="H18" s="8">
        <f>-H17*Assumptions!$C$8</f>
        <v>-1345953.5697746961</v>
      </c>
    </row>
    <row r="19" spans="1:8" x14ac:dyDescent="0.3">
      <c r="B19" s="25" t="s">
        <v>174</v>
      </c>
      <c r="C19" s="26">
        <f t="shared" ref="C19:H19" si="4">C17+C18</f>
        <v>1076951.0624258064</v>
      </c>
      <c r="D19" s="26">
        <f t="shared" si="4"/>
        <v>1476951.8562791143</v>
      </c>
      <c r="E19" s="26">
        <f t="shared" si="4"/>
        <v>1899376.0977414707</v>
      </c>
      <c r="F19" s="26">
        <f t="shared" si="4"/>
        <v>2395531.1747244624</v>
      </c>
      <c r="G19" s="26">
        <f t="shared" si="4"/>
        <v>3111149.6965325447</v>
      </c>
      <c r="H19" s="26">
        <f t="shared" si="4"/>
        <v>3830790.9293587501</v>
      </c>
    </row>
    <row r="20" spans="1:8" x14ac:dyDescent="0.3">
      <c r="B20" s="5" t="s">
        <v>175</v>
      </c>
      <c r="C20" s="8">
        <f t="shared" ref="C20:H20" si="5">-C16</f>
        <v>700000</v>
      </c>
      <c r="D20" s="8">
        <f t="shared" si="5"/>
        <v>710000</v>
      </c>
      <c r="E20" s="8">
        <f t="shared" si="5"/>
        <v>710000</v>
      </c>
      <c r="F20" s="8">
        <f t="shared" si="5"/>
        <v>710000</v>
      </c>
      <c r="G20" s="8">
        <f t="shared" si="5"/>
        <v>510000</v>
      </c>
      <c r="H20" s="8">
        <f t="shared" si="5"/>
        <v>510000</v>
      </c>
    </row>
    <row r="21" spans="1:8" x14ac:dyDescent="0.3">
      <c r="B21" s="5" t="s">
        <v>176</v>
      </c>
      <c r="C21" s="8">
        <f>-C9*Assumptions!$C$11</f>
        <v>-319556.12129032263</v>
      </c>
      <c r="D21" s="8">
        <f>-D9*Assumptions!$C$11</f>
        <v>-386915.18790967751</v>
      </c>
      <c r="E21" s="8">
        <f>-E9*Assumptions!$C$11</f>
        <v>-471766.58842103241</v>
      </c>
      <c r="F21" s="8">
        <f>-F9*Assumptions!$C$11</f>
        <v>-576903.14241200534</v>
      </c>
      <c r="G21" s="8">
        <f>-G9*Assumptions!$C$11</f>
        <v>-705470.12843525235</v>
      </c>
      <c r="H21" s="8">
        <f>-H9*Assumptions!$C$11</f>
        <v>-849209.66710393503</v>
      </c>
    </row>
    <row r="22" spans="1:8" x14ac:dyDescent="0.3">
      <c r="A22" t="s">
        <v>251</v>
      </c>
      <c r="B22" s="12" t="s">
        <v>177</v>
      </c>
      <c r="C22" s="24">
        <f t="shared" ref="C22:H22" si="6">C19+C20+C21</f>
        <v>1457394.9411354838</v>
      </c>
      <c r="D22" s="24">
        <f t="shared" si="6"/>
        <v>1800036.6683694366</v>
      </c>
      <c r="E22" s="24">
        <f t="shared" si="6"/>
        <v>2137609.5093204384</v>
      </c>
      <c r="F22" s="24">
        <f t="shared" si="6"/>
        <v>2528628.032312457</v>
      </c>
      <c r="G22" s="24">
        <f t="shared" si="6"/>
        <v>2915679.5680972924</v>
      </c>
      <c r="H22" s="24">
        <f t="shared" si="6"/>
        <v>3491581.2622548155</v>
      </c>
    </row>
    <row r="24" spans="1:8" x14ac:dyDescent="0.3">
      <c r="B24" s="3" t="s">
        <v>178</v>
      </c>
      <c r="C24" s="3"/>
      <c r="D24" s="3"/>
      <c r="E24" s="3"/>
      <c r="F24" s="3"/>
      <c r="G24" s="3"/>
      <c r="H24" s="3"/>
    </row>
    <row r="25" spans="1:8" x14ac:dyDescent="0.3">
      <c r="B25" s="29" t="s">
        <v>48</v>
      </c>
      <c r="C25" s="4" t="s">
        <v>126</v>
      </c>
      <c r="D25" s="4" t="s">
        <v>127</v>
      </c>
      <c r="E25" s="4" t="s">
        <v>128</v>
      </c>
      <c r="F25" s="4" t="s">
        <v>129</v>
      </c>
      <c r="G25" s="4" t="s">
        <v>130</v>
      </c>
      <c r="H25" s="4" t="s">
        <v>131</v>
      </c>
    </row>
    <row r="26" spans="1:8" x14ac:dyDescent="0.3">
      <c r="B26" s="5" t="s">
        <v>163</v>
      </c>
      <c r="C26" s="34">
        <f>Assumptions!C22</f>
        <v>200</v>
      </c>
      <c r="D26" s="34">
        <f>Assumptions!D22</f>
        <v>250</v>
      </c>
      <c r="E26" s="34">
        <f>Assumptions!E22</f>
        <v>310</v>
      </c>
      <c r="F26" s="34">
        <f>Assumptions!F22</f>
        <v>370</v>
      </c>
      <c r="G26" s="34">
        <f>Assumptions!G22</f>
        <v>460</v>
      </c>
      <c r="H26" s="34">
        <f>Assumptions!H22</f>
        <v>540</v>
      </c>
    </row>
    <row r="27" spans="1:8" x14ac:dyDescent="0.3">
      <c r="B27" s="5" t="s">
        <v>132</v>
      </c>
      <c r="C27" s="6">
        <f>Assumptions!C17</f>
        <v>42046.858064516135</v>
      </c>
      <c r="D27" s="6">
        <f>Assumptions!D17</f>
        <v>44990.138129032268</v>
      </c>
      <c r="E27" s="6">
        <f>Assumptions!E17</f>
        <v>48139.447798064532</v>
      </c>
      <c r="F27" s="6">
        <f>Assumptions!F17</f>
        <v>51509.209143929053</v>
      </c>
      <c r="G27" s="6">
        <f>Assumptions!G17</f>
        <v>55114.853784004088</v>
      </c>
      <c r="H27" s="6">
        <f>Assumptions!H17</f>
        <v>58972.893548884378</v>
      </c>
    </row>
    <row r="28" spans="1:8" x14ac:dyDescent="0.3">
      <c r="A28" t="s">
        <v>251</v>
      </c>
      <c r="B28" s="21" t="s">
        <v>164</v>
      </c>
      <c r="C28" s="22">
        <f t="shared" ref="C28:H28" si="7">C26*C27</f>
        <v>8409371.6129032262</v>
      </c>
      <c r="D28" s="22">
        <f t="shared" si="7"/>
        <v>11247534.532258067</v>
      </c>
      <c r="E28" s="22">
        <f t="shared" si="7"/>
        <v>14923228.817400005</v>
      </c>
      <c r="F28" s="22">
        <f t="shared" si="7"/>
        <v>19058407.383253749</v>
      </c>
      <c r="G28" s="22">
        <f t="shared" si="7"/>
        <v>25352832.740641881</v>
      </c>
      <c r="H28" s="22">
        <f t="shared" si="7"/>
        <v>31845362.516397566</v>
      </c>
    </row>
    <row r="29" spans="1:8" x14ac:dyDescent="0.3">
      <c r="B29" s="5" t="s">
        <v>165</v>
      </c>
      <c r="C29" s="35" t="s">
        <v>166</v>
      </c>
      <c r="D29" s="35">
        <f>D28/C28-1</f>
        <v>0.33750000000000036</v>
      </c>
      <c r="E29" s="35">
        <f>E28/D28-1</f>
        <v>0.3268000000000002</v>
      </c>
      <c r="F29" s="35">
        <f>F28/E28-1</f>
        <v>0.27709677419354839</v>
      </c>
      <c r="G29" s="35">
        <f>G28/F28-1</f>
        <v>0.33027027027027023</v>
      </c>
      <c r="H29" s="35">
        <f>H28/G28-1</f>
        <v>0.25608695652173918</v>
      </c>
    </row>
    <row r="30" spans="1:8" x14ac:dyDescent="0.3">
      <c r="B30" s="5" t="s">
        <v>167</v>
      </c>
      <c r="C30" s="8">
        <f>-C28*Assumptions!C29</f>
        <v>-2186436.619354839</v>
      </c>
      <c r="D30" s="8">
        <f>-D28*Assumptions!D29</f>
        <v>-3149309.6690322589</v>
      </c>
      <c r="E30" s="8">
        <f>-E28*Assumptions!E29</f>
        <v>-4626200.9333940018</v>
      </c>
      <c r="F30" s="8">
        <f>-F28*Assumptions!F29</f>
        <v>-6479858.5103062754</v>
      </c>
      <c r="G30" s="8">
        <f>-G28*Assumptions!G29</f>
        <v>-9380548.1140374951</v>
      </c>
      <c r="H30" s="8">
        <f>-H28*Assumptions!H29</f>
        <v>-12419691.381395051</v>
      </c>
    </row>
    <row r="31" spans="1:8" x14ac:dyDescent="0.3">
      <c r="B31" s="5" t="s">
        <v>168</v>
      </c>
      <c r="C31" s="6">
        <f>-Assumptions!C31</f>
        <v>-1200000</v>
      </c>
      <c r="D31" s="6">
        <f>-Assumptions!D31</f>
        <v>-1260000</v>
      </c>
      <c r="E31" s="6">
        <f>-Assumptions!E31</f>
        <v>-1323000</v>
      </c>
      <c r="F31" s="6">
        <f>-Assumptions!F31</f>
        <v>-1389150</v>
      </c>
      <c r="G31" s="6">
        <f>-Assumptions!G31</f>
        <v>-1458607.5</v>
      </c>
      <c r="H31" s="6">
        <f>-Assumptions!H31</f>
        <v>-1531537.875</v>
      </c>
    </row>
    <row r="32" spans="1:8" x14ac:dyDescent="0.3">
      <c r="B32" s="5" t="s">
        <v>169</v>
      </c>
      <c r="C32" s="8">
        <f>-C28*Assumptions!C30</f>
        <v>-2690998.9161290326</v>
      </c>
      <c r="D32" s="8">
        <f>-D28*Assumptions!D30</f>
        <v>-3486735.705000001</v>
      </c>
      <c r="E32" s="8">
        <f>-E28*Assumptions!E30</f>
        <v>-4476968.6452200012</v>
      </c>
      <c r="F32" s="8">
        <f>-F28*Assumptions!F30</f>
        <v>-5526938.1411435874</v>
      </c>
      <c r="G32" s="8">
        <f>-G28*Assumptions!G30</f>
        <v>-7098793.1673797276</v>
      </c>
      <c r="H32" s="8">
        <f>-H28*Assumptions!H30</f>
        <v>-8598247.8794273436</v>
      </c>
    </row>
    <row r="33" spans="1:8" x14ac:dyDescent="0.3">
      <c r="A33" t="s">
        <v>251</v>
      </c>
      <c r="B33" s="12" t="s">
        <v>170</v>
      </c>
      <c r="C33" s="24">
        <f t="shared" ref="C33:H33" si="8">SUM(C28:C32)</f>
        <v>2331936.077419355</v>
      </c>
      <c r="D33" s="24">
        <f t="shared" si="8"/>
        <v>3351489.4957258077</v>
      </c>
      <c r="E33" s="24">
        <f t="shared" si="8"/>
        <v>4497059.5655860016</v>
      </c>
      <c r="F33" s="24">
        <f t="shared" si="8"/>
        <v>5662461.0089006601</v>
      </c>
      <c r="G33" s="24">
        <f t="shared" si="8"/>
        <v>7414884.2894949298</v>
      </c>
      <c r="H33" s="24">
        <f t="shared" si="8"/>
        <v>9295885.6366621256</v>
      </c>
    </row>
    <row r="34" spans="1:8" x14ac:dyDescent="0.3">
      <c r="B34" s="5" t="s">
        <v>171</v>
      </c>
      <c r="C34" s="35">
        <f t="shared" ref="C34:H34" si="9">C33/C28</f>
        <v>0.27730206069633834</v>
      </c>
      <c r="D34" s="35">
        <f t="shared" si="9"/>
        <v>0.29797547952519682</v>
      </c>
      <c r="E34" s="35">
        <f t="shared" si="9"/>
        <v>0.30134628508426908</v>
      </c>
      <c r="F34" s="35">
        <f t="shared" si="9"/>
        <v>0.29711092301847603</v>
      </c>
      <c r="G34" s="35">
        <f t="shared" si="9"/>
        <v>0.2924676845916509</v>
      </c>
      <c r="H34" s="35">
        <f t="shared" si="9"/>
        <v>0.29190704398091122</v>
      </c>
    </row>
    <row r="35" spans="1:8" x14ac:dyDescent="0.3">
      <c r="B35" s="5" t="s">
        <v>59</v>
      </c>
      <c r="C35" s="6">
        <f>-Assumptions!C32</f>
        <v>-700000</v>
      </c>
      <c r="D35" s="6">
        <f>-Assumptions!D32</f>
        <v>-710000</v>
      </c>
      <c r="E35" s="6">
        <f>-Assumptions!E32</f>
        <v>-710000</v>
      </c>
      <c r="F35" s="6">
        <f>-Assumptions!F32</f>
        <v>-710000</v>
      </c>
      <c r="G35" s="6">
        <f>-Assumptions!G32</f>
        <v>-510000</v>
      </c>
      <c r="H35" s="6">
        <f>-Assumptions!H32</f>
        <v>-510000</v>
      </c>
    </row>
    <row r="36" spans="1:8" x14ac:dyDescent="0.3">
      <c r="B36" s="25" t="s">
        <v>172</v>
      </c>
      <c r="C36" s="26">
        <f t="shared" ref="C36:H36" si="10">C33+C35</f>
        <v>1631936.077419355</v>
      </c>
      <c r="D36" s="26">
        <f t="shared" si="10"/>
        <v>2641489.4957258077</v>
      </c>
      <c r="E36" s="26">
        <f t="shared" si="10"/>
        <v>3787059.5655860016</v>
      </c>
      <c r="F36" s="26">
        <f t="shared" si="10"/>
        <v>4952461.0089006601</v>
      </c>
      <c r="G36" s="26">
        <f t="shared" si="10"/>
        <v>6904884.2894949298</v>
      </c>
      <c r="H36" s="26">
        <f t="shared" si="10"/>
        <v>8785885.6366621256</v>
      </c>
    </row>
    <row r="37" spans="1:8" x14ac:dyDescent="0.3">
      <c r="B37" s="5" t="s">
        <v>173</v>
      </c>
      <c r="C37" s="8">
        <f>-C36*Assumptions!$C$8</f>
        <v>-424303.3801290323</v>
      </c>
      <c r="D37" s="8">
        <f>-D36*Assumptions!$C$8</f>
        <v>-686787.26888871007</v>
      </c>
      <c r="E37" s="8">
        <f>-E36*Assumptions!$C$8</f>
        <v>-984635.48705236043</v>
      </c>
      <c r="F37" s="8">
        <f>-F36*Assumptions!$C$8</f>
        <v>-1287639.8623141716</v>
      </c>
      <c r="G37" s="8">
        <f>-G36*Assumptions!$C$8</f>
        <v>-1795269.9152686817</v>
      </c>
      <c r="H37" s="8">
        <f>-H36*Assumptions!$C$8</f>
        <v>-2284330.2655321527</v>
      </c>
    </row>
    <row r="38" spans="1:8" x14ac:dyDescent="0.3">
      <c r="B38" s="25" t="s">
        <v>174</v>
      </c>
      <c r="C38" s="26">
        <f t="shared" ref="C38:H38" si="11">C36+C37</f>
        <v>1207632.6972903227</v>
      </c>
      <c r="D38" s="26">
        <f t="shared" si="11"/>
        <v>1954702.2268370977</v>
      </c>
      <c r="E38" s="26">
        <f t="shared" si="11"/>
        <v>2802424.0785336411</v>
      </c>
      <c r="F38" s="26">
        <f t="shared" si="11"/>
        <v>3664821.1465864885</v>
      </c>
      <c r="G38" s="26">
        <f t="shared" si="11"/>
        <v>5109614.3742262479</v>
      </c>
      <c r="H38" s="26">
        <f t="shared" si="11"/>
        <v>6501555.3711299729</v>
      </c>
    </row>
    <row r="39" spans="1:8" x14ac:dyDescent="0.3">
      <c r="B39" s="5" t="s">
        <v>175</v>
      </c>
      <c r="C39" s="8">
        <f t="shared" ref="C39:H39" si="12">-C35</f>
        <v>700000</v>
      </c>
      <c r="D39" s="8">
        <f t="shared" si="12"/>
        <v>710000</v>
      </c>
      <c r="E39" s="8">
        <f t="shared" si="12"/>
        <v>710000</v>
      </c>
      <c r="F39" s="8">
        <f t="shared" si="12"/>
        <v>710000</v>
      </c>
      <c r="G39" s="8">
        <f t="shared" si="12"/>
        <v>510000</v>
      </c>
      <c r="H39" s="8">
        <f t="shared" si="12"/>
        <v>510000</v>
      </c>
    </row>
    <row r="40" spans="1:8" x14ac:dyDescent="0.3">
      <c r="B40" s="5" t="s">
        <v>176</v>
      </c>
      <c r="C40" s="8">
        <f>-C28*Assumptions!$C$11</f>
        <v>-336374.86451612908</v>
      </c>
      <c r="D40" s="8">
        <f>-D28*Assumptions!$C$11</f>
        <v>-449901.38129032269</v>
      </c>
      <c r="E40" s="8">
        <f>-E28*Assumptions!$C$11</f>
        <v>-596929.15269600018</v>
      </c>
      <c r="F40" s="8">
        <f>-F28*Assumptions!$C$11</f>
        <v>-762336.29533014994</v>
      </c>
      <c r="G40" s="8">
        <f>-G28*Assumptions!$C$11</f>
        <v>-1014113.3096256752</v>
      </c>
      <c r="H40" s="8">
        <f>-H28*Assumptions!$C$11</f>
        <v>-1273814.5006559025</v>
      </c>
    </row>
    <row r="41" spans="1:8" x14ac:dyDescent="0.3">
      <c r="A41" t="s">
        <v>251</v>
      </c>
      <c r="B41" s="12" t="s">
        <v>177</v>
      </c>
      <c r="C41" s="24">
        <f t="shared" ref="C41:H41" si="13">C38+C39+C40</f>
        <v>1571257.8327741937</v>
      </c>
      <c r="D41" s="24">
        <f t="shared" si="13"/>
        <v>2214800.845546775</v>
      </c>
      <c r="E41" s="24">
        <f t="shared" si="13"/>
        <v>2915494.9258376407</v>
      </c>
      <c r="F41" s="24">
        <f t="shared" si="13"/>
        <v>3612484.8512563389</v>
      </c>
      <c r="G41" s="24">
        <f t="shared" si="13"/>
        <v>4605501.0646005729</v>
      </c>
      <c r="H41" s="24">
        <f t="shared" si="13"/>
        <v>5737740.8704740703</v>
      </c>
    </row>
    <row r="43" spans="1:8" x14ac:dyDescent="0.3">
      <c r="B43" s="3" t="s">
        <v>179</v>
      </c>
      <c r="C43" s="3"/>
      <c r="D43" s="3"/>
      <c r="E43" s="3"/>
      <c r="F43" s="3"/>
      <c r="G43" s="3"/>
      <c r="H43" s="3"/>
    </row>
    <row r="44" spans="1:8" x14ac:dyDescent="0.3">
      <c r="B44" s="29" t="s">
        <v>48</v>
      </c>
      <c r="C44" s="4" t="s">
        <v>126</v>
      </c>
      <c r="D44" s="4" t="s">
        <v>127</v>
      </c>
      <c r="E44" s="4" t="s">
        <v>128</v>
      </c>
      <c r="F44" s="4" t="s">
        <v>129</v>
      </c>
      <c r="G44" s="4" t="s">
        <v>130</v>
      </c>
      <c r="H44" s="4" t="s">
        <v>131</v>
      </c>
    </row>
    <row r="45" spans="1:8" x14ac:dyDescent="0.3">
      <c r="B45" s="5" t="s">
        <v>163</v>
      </c>
      <c r="C45" s="34">
        <f>Assumptions!C23</f>
        <v>200</v>
      </c>
      <c r="D45" s="34">
        <f>Assumptions!D23</f>
        <v>275</v>
      </c>
      <c r="E45" s="34">
        <f>Assumptions!E23</f>
        <v>375</v>
      </c>
      <c r="F45" s="34">
        <f>Assumptions!F23</f>
        <v>485</v>
      </c>
      <c r="G45" s="34">
        <f>Assumptions!G23</f>
        <v>605</v>
      </c>
      <c r="H45" s="34">
        <f>Assumptions!H23</f>
        <v>705</v>
      </c>
    </row>
    <row r="46" spans="1:8" x14ac:dyDescent="0.3">
      <c r="B46" s="5" t="s">
        <v>132</v>
      </c>
      <c r="C46" s="6">
        <f>Assumptions!C17</f>
        <v>42046.858064516135</v>
      </c>
      <c r="D46" s="6">
        <f>Assumptions!D17</f>
        <v>44990.138129032268</v>
      </c>
      <c r="E46" s="6">
        <f>Assumptions!E17</f>
        <v>48139.447798064532</v>
      </c>
      <c r="F46" s="6">
        <f>Assumptions!F17</f>
        <v>51509.209143929053</v>
      </c>
      <c r="G46" s="6">
        <f>Assumptions!G17</f>
        <v>55114.853784004088</v>
      </c>
      <c r="H46" s="6">
        <f>Assumptions!H17</f>
        <v>58972.893548884378</v>
      </c>
    </row>
    <row r="47" spans="1:8" x14ac:dyDescent="0.3">
      <c r="A47" t="s">
        <v>251</v>
      </c>
      <c r="B47" s="21" t="s">
        <v>164</v>
      </c>
      <c r="C47" s="22">
        <f t="shared" ref="C47:H47" si="14">C45*C46</f>
        <v>8409371.6129032262</v>
      </c>
      <c r="D47" s="22">
        <f t="shared" si="14"/>
        <v>12372287.985483874</v>
      </c>
      <c r="E47" s="22">
        <f t="shared" si="14"/>
        <v>18052292.924274199</v>
      </c>
      <c r="F47" s="22">
        <f t="shared" si="14"/>
        <v>24981966.434805591</v>
      </c>
      <c r="G47" s="22">
        <f t="shared" si="14"/>
        <v>33344486.539322473</v>
      </c>
      <c r="H47" s="22">
        <f t="shared" si="14"/>
        <v>41575889.951963484</v>
      </c>
    </row>
    <row r="48" spans="1:8" x14ac:dyDescent="0.3">
      <c r="B48" s="5" t="s">
        <v>165</v>
      </c>
      <c r="C48" s="35" t="s">
        <v>166</v>
      </c>
      <c r="D48" s="35">
        <f>D47/C47-1</f>
        <v>0.47125000000000017</v>
      </c>
      <c r="E48" s="35">
        <f>E47/D47-1</f>
        <v>0.45909090909090922</v>
      </c>
      <c r="F48" s="35">
        <f>F47/E47-1</f>
        <v>0.3838666666666668</v>
      </c>
      <c r="G48" s="35">
        <f>G47/F47-1</f>
        <v>0.33474226804123708</v>
      </c>
      <c r="H48" s="35">
        <f>H47/G47-1</f>
        <v>0.24685950413223146</v>
      </c>
    </row>
    <row r="49" spans="1:8" x14ac:dyDescent="0.3">
      <c r="B49" s="5" t="s">
        <v>167</v>
      </c>
      <c r="C49" s="8">
        <f>-C47*Assumptions!C29</f>
        <v>-2186436.619354839</v>
      </c>
      <c r="D49" s="8">
        <f>-D47*Assumptions!D29</f>
        <v>-3464240.6359354849</v>
      </c>
      <c r="E49" s="8">
        <f>-E47*Assumptions!E29</f>
        <v>-5596210.8065250013</v>
      </c>
      <c r="F49" s="8">
        <f>-F47*Assumptions!F29</f>
        <v>-8493868.5878339019</v>
      </c>
      <c r="G49" s="8">
        <f>-G47*Assumptions!G29</f>
        <v>-12337460.019549316</v>
      </c>
      <c r="H49" s="8">
        <f>-H47*Assumptions!H29</f>
        <v>-16214597.081265759</v>
      </c>
    </row>
    <row r="50" spans="1:8" x14ac:dyDescent="0.3">
      <c r="B50" s="5" t="s">
        <v>168</v>
      </c>
      <c r="C50" s="6">
        <f>-Assumptions!C31</f>
        <v>-1200000</v>
      </c>
      <c r="D50" s="6">
        <f>-Assumptions!D31</f>
        <v>-1260000</v>
      </c>
      <c r="E50" s="6">
        <f>-Assumptions!E31</f>
        <v>-1323000</v>
      </c>
      <c r="F50" s="6">
        <f>-Assumptions!F31</f>
        <v>-1389150</v>
      </c>
      <c r="G50" s="6">
        <f>-Assumptions!G31</f>
        <v>-1458607.5</v>
      </c>
      <c r="H50" s="6">
        <f>-Assumptions!H31</f>
        <v>-1531537.875</v>
      </c>
    </row>
    <row r="51" spans="1:8" x14ac:dyDescent="0.3">
      <c r="B51" s="5" t="s">
        <v>169</v>
      </c>
      <c r="C51" s="8">
        <f>-C47*Assumptions!C30</f>
        <v>-2690998.9161290326</v>
      </c>
      <c r="D51" s="8">
        <f>-D47*Assumptions!D30</f>
        <v>-3835409.2755000009</v>
      </c>
      <c r="E51" s="8">
        <f>-E47*Assumptions!E30</f>
        <v>-5415687.8772822591</v>
      </c>
      <c r="F51" s="8">
        <f>-F47*Assumptions!F30</f>
        <v>-7244770.266093621</v>
      </c>
      <c r="G51" s="8">
        <f>-G47*Assumptions!G30</f>
        <v>-9336456.2310102936</v>
      </c>
      <c r="H51" s="8">
        <f>-H47*Assumptions!H30</f>
        <v>-11225490.287030142</v>
      </c>
    </row>
    <row r="52" spans="1:8" x14ac:dyDescent="0.3">
      <c r="A52" t="s">
        <v>251</v>
      </c>
      <c r="B52" s="12" t="s">
        <v>170</v>
      </c>
      <c r="C52" s="24">
        <f t="shared" ref="C52:H52" si="15">SUM(C47:C51)</f>
        <v>2331936.077419355</v>
      </c>
      <c r="D52" s="24">
        <f t="shared" si="15"/>
        <v>3812638.5452983868</v>
      </c>
      <c r="E52" s="24">
        <f t="shared" si="15"/>
        <v>5717394.6995578492</v>
      </c>
      <c r="F52" s="24">
        <f t="shared" si="15"/>
        <v>7854177.9647447355</v>
      </c>
      <c r="G52" s="24">
        <f t="shared" si="15"/>
        <v>10211963.123505132</v>
      </c>
      <c r="H52" s="24">
        <f t="shared" si="15"/>
        <v>12604264.95552709</v>
      </c>
    </row>
    <row r="53" spans="1:8" x14ac:dyDescent="0.3">
      <c r="B53" s="5" t="s">
        <v>171</v>
      </c>
      <c r="C53" s="35">
        <f t="shared" ref="C53:H53" si="16">C52/C47</f>
        <v>0.27730206069633834</v>
      </c>
      <c r="D53" s="35">
        <f t="shared" si="16"/>
        <v>0.30815953765153781</v>
      </c>
      <c r="E53" s="35">
        <f t="shared" si="16"/>
        <v>0.31671293633120123</v>
      </c>
      <c r="F53" s="35">
        <f t="shared" si="16"/>
        <v>0.31439390430859238</v>
      </c>
      <c r="G53" s="35">
        <f t="shared" si="16"/>
        <v>0.30625642147652721</v>
      </c>
      <c r="H53" s="35">
        <f t="shared" si="16"/>
        <v>0.30316284197620247</v>
      </c>
    </row>
    <row r="54" spans="1:8" x14ac:dyDescent="0.3">
      <c r="B54" s="5" t="s">
        <v>59</v>
      </c>
      <c r="C54" s="6">
        <f>-Assumptions!C32</f>
        <v>-700000</v>
      </c>
      <c r="D54" s="6">
        <f>-Assumptions!D32</f>
        <v>-710000</v>
      </c>
      <c r="E54" s="6">
        <f>-Assumptions!E32</f>
        <v>-710000</v>
      </c>
      <c r="F54" s="6">
        <f>-Assumptions!F32</f>
        <v>-710000</v>
      </c>
      <c r="G54" s="6">
        <f>-Assumptions!G32</f>
        <v>-510000</v>
      </c>
      <c r="H54" s="6">
        <f>-Assumptions!H32</f>
        <v>-510000</v>
      </c>
    </row>
    <row r="55" spans="1:8" x14ac:dyDescent="0.3">
      <c r="B55" s="25" t="s">
        <v>172</v>
      </c>
      <c r="C55" s="26">
        <f t="shared" ref="C55:H55" si="17">C52+C54</f>
        <v>1631936.077419355</v>
      </c>
      <c r="D55" s="26">
        <f t="shared" si="17"/>
        <v>3102638.5452983868</v>
      </c>
      <c r="E55" s="26">
        <f t="shared" si="17"/>
        <v>5007394.6995578492</v>
      </c>
      <c r="F55" s="26">
        <f t="shared" si="17"/>
        <v>7144177.9647447355</v>
      </c>
      <c r="G55" s="26">
        <f t="shared" si="17"/>
        <v>9701963.1235051323</v>
      </c>
      <c r="H55" s="26">
        <f t="shared" si="17"/>
        <v>12094264.95552709</v>
      </c>
    </row>
    <row r="56" spans="1:8" x14ac:dyDescent="0.3">
      <c r="B56" s="5" t="s">
        <v>173</v>
      </c>
      <c r="C56" s="8">
        <f>-C55*Assumptions!$C$8</f>
        <v>-424303.3801290323</v>
      </c>
      <c r="D56" s="8">
        <f>-D55*Assumptions!$C$8</f>
        <v>-806686.02177758061</v>
      </c>
      <c r="E56" s="8">
        <f>-E55*Assumptions!$C$8</f>
        <v>-1301922.6218850408</v>
      </c>
      <c r="F56" s="8">
        <f>-F55*Assumptions!$C$8</f>
        <v>-1857486.2708336313</v>
      </c>
      <c r="G56" s="8">
        <f>-G55*Assumptions!$C$8</f>
        <v>-2522510.4121113345</v>
      </c>
      <c r="H56" s="8">
        <f>-H55*Assumptions!$C$8</f>
        <v>-3144508.8884370434</v>
      </c>
    </row>
    <row r="57" spans="1:8" x14ac:dyDescent="0.3">
      <c r="B57" s="25" t="s">
        <v>174</v>
      </c>
      <c r="C57" s="26">
        <f t="shared" ref="C57:H57" si="18">C55+C56</f>
        <v>1207632.6972903227</v>
      </c>
      <c r="D57" s="26">
        <f t="shared" si="18"/>
        <v>2295952.5235208063</v>
      </c>
      <c r="E57" s="26">
        <f t="shared" si="18"/>
        <v>3705472.0776728084</v>
      </c>
      <c r="F57" s="26">
        <f t="shared" si="18"/>
        <v>5286691.6939111045</v>
      </c>
      <c r="G57" s="26">
        <f t="shared" si="18"/>
        <v>7179452.7113937978</v>
      </c>
      <c r="H57" s="26">
        <f t="shared" si="18"/>
        <v>8949756.0670900457</v>
      </c>
    </row>
    <row r="58" spans="1:8" x14ac:dyDescent="0.3">
      <c r="B58" s="5" t="s">
        <v>175</v>
      </c>
      <c r="C58" s="8">
        <f t="shared" ref="C58:H58" si="19">-C54</f>
        <v>700000</v>
      </c>
      <c r="D58" s="8">
        <f t="shared" si="19"/>
        <v>710000</v>
      </c>
      <c r="E58" s="8">
        <f t="shared" si="19"/>
        <v>710000</v>
      </c>
      <c r="F58" s="8">
        <f t="shared" si="19"/>
        <v>710000</v>
      </c>
      <c r="G58" s="8">
        <f t="shared" si="19"/>
        <v>510000</v>
      </c>
      <c r="H58" s="8">
        <f t="shared" si="19"/>
        <v>510000</v>
      </c>
    </row>
    <row r="59" spans="1:8" x14ac:dyDescent="0.3">
      <c r="B59" s="5" t="s">
        <v>176</v>
      </c>
      <c r="C59" s="8">
        <f>-C47*Assumptions!$C$11</f>
        <v>-336374.86451612908</v>
      </c>
      <c r="D59" s="8">
        <f>-D47*Assumptions!$C$11</f>
        <v>-494891.51941935497</v>
      </c>
      <c r="E59" s="8">
        <f>-E47*Assumptions!$C$11</f>
        <v>-722091.71697096794</v>
      </c>
      <c r="F59" s="8">
        <f>-F47*Assumptions!$C$11</f>
        <v>-999278.6573922236</v>
      </c>
      <c r="G59" s="8">
        <f>-G47*Assumptions!$C$11</f>
        <v>-1333779.461572899</v>
      </c>
      <c r="H59" s="8">
        <f>-H47*Assumptions!$C$11</f>
        <v>-1663035.5980785394</v>
      </c>
    </row>
    <row r="60" spans="1:8" x14ac:dyDescent="0.3">
      <c r="A60" t="s">
        <v>251</v>
      </c>
      <c r="B60" s="12" t="s">
        <v>177</v>
      </c>
      <c r="C60" s="24">
        <f t="shared" ref="C60:H60" si="20">C57+C58+C59</f>
        <v>1571257.8327741937</v>
      </c>
      <c r="D60" s="24">
        <f t="shared" si="20"/>
        <v>2511061.0041014515</v>
      </c>
      <c r="E60" s="24">
        <f t="shared" si="20"/>
        <v>3693380.3607018404</v>
      </c>
      <c r="F60" s="24">
        <f t="shared" si="20"/>
        <v>4997413.0365188811</v>
      </c>
      <c r="G60" s="24">
        <f t="shared" si="20"/>
        <v>6355673.2498208992</v>
      </c>
      <c r="H60" s="24">
        <f t="shared" si="20"/>
        <v>7796720.4690115061</v>
      </c>
    </row>
    <row r="62" spans="1:8" ht="24" customHeight="1" x14ac:dyDescent="0.3">
      <c r="B62" s="45"/>
      <c r="C62" s="44"/>
      <c r="D62" s="44"/>
      <c r="E62" s="44"/>
      <c r="F62" s="44"/>
      <c r="G62" s="44"/>
      <c r="H62" s="44"/>
    </row>
    <row r="63" spans="1:8" ht="24" customHeight="1" x14ac:dyDescent="0.3"/>
  </sheetData>
  <mergeCells count="1">
    <mergeCell ref="B62:H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62"/>
  <sheetViews>
    <sheetView tabSelected="1" workbookViewId="0">
      <selection activeCell="D6" sqref="D6"/>
    </sheetView>
  </sheetViews>
  <sheetFormatPr defaultRowHeight="14.4" x14ac:dyDescent="0.3"/>
  <cols>
    <col min="1" max="1" width="3" customWidth="1"/>
    <col min="2" max="2" width="44" customWidth="1"/>
    <col min="3" max="8" width="15" customWidth="1"/>
    <col min="9" max="9" width="18" customWidth="1"/>
  </cols>
  <sheetData>
    <row r="2" spans="1:9" ht="21" x14ac:dyDescent="0.4">
      <c r="B2" s="1" t="s">
        <v>180</v>
      </c>
    </row>
    <row r="3" spans="1:9" x14ac:dyDescent="0.3">
      <c r="B3" s="2"/>
    </row>
    <row r="5" spans="1:9" x14ac:dyDescent="0.3">
      <c r="B5" s="3" t="s">
        <v>181</v>
      </c>
      <c r="C5" s="3"/>
      <c r="I5" s="3"/>
    </row>
    <row r="6" spans="1:9" ht="24" customHeight="1" x14ac:dyDescent="0.3">
      <c r="B6" s="5" t="s">
        <v>182</v>
      </c>
      <c r="C6" s="28">
        <v>6.7500000000000004E-2</v>
      </c>
      <c r="I6" s="31" t="s">
        <v>183</v>
      </c>
    </row>
    <row r="7" spans="1:9" ht="24" customHeight="1" x14ac:dyDescent="0.3">
      <c r="B7" s="5" t="s">
        <v>184</v>
      </c>
      <c r="C7" s="28">
        <v>7.4999999999999997E-2</v>
      </c>
      <c r="I7" s="31" t="s">
        <v>185</v>
      </c>
    </row>
    <row r="8" spans="1:9" ht="24" customHeight="1" x14ac:dyDescent="0.3">
      <c r="B8" s="5" t="s">
        <v>186</v>
      </c>
      <c r="C8" s="36">
        <v>0.9</v>
      </c>
      <c r="I8" s="31" t="s">
        <v>187</v>
      </c>
    </row>
    <row r="9" spans="1:9" ht="24" customHeight="1" x14ac:dyDescent="0.3">
      <c r="B9" s="5" t="s">
        <v>188</v>
      </c>
      <c r="C9" s="28">
        <v>0.08</v>
      </c>
      <c r="I9" s="31" t="s">
        <v>189</v>
      </c>
    </row>
    <row r="10" spans="1:9" ht="24" customHeight="1" x14ac:dyDescent="0.3">
      <c r="B10" s="5" t="s">
        <v>190</v>
      </c>
      <c r="C10" s="28">
        <v>0.04</v>
      </c>
      <c r="I10" s="31" t="s">
        <v>191</v>
      </c>
    </row>
    <row r="11" spans="1:9" ht="24" customHeight="1" x14ac:dyDescent="0.3">
      <c r="B11" s="25" t="s">
        <v>192</v>
      </c>
      <c r="C11" s="28">
        <f>C6+C8*C7+C9+C10</f>
        <v>0.255</v>
      </c>
      <c r="I11" s="31" t="s">
        <v>193</v>
      </c>
    </row>
    <row r="12" spans="1:9" ht="24" customHeight="1" x14ac:dyDescent="0.3">
      <c r="B12" s="5" t="s">
        <v>194</v>
      </c>
      <c r="C12" s="28">
        <v>0.1</v>
      </c>
      <c r="I12" s="31" t="s">
        <v>195</v>
      </c>
    </row>
    <row r="13" spans="1:9" ht="24" customHeight="1" x14ac:dyDescent="0.3">
      <c r="B13" s="5" t="s">
        <v>196</v>
      </c>
      <c r="C13" s="28">
        <f>C12*(1-Assumptions!$C$8)</f>
        <v>0.074</v>
      </c>
      <c r="I13" s="31" t="s">
        <v>197</v>
      </c>
    </row>
    <row r="14" spans="1:9" ht="24" customHeight="1" x14ac:dyDescent="0.3">
      <c r="B14" s="5" t="s">
        <v>198</v>
      </c>
      <c r="C14" s="28">
        <v>0.7</v>
      </c>
      <c r="I14" s="31" t="s">
        <v>199</v>
      </c>
    </row>
    <row r="15" spans="1:9" ht="24" customHeight="1" x14ac:dyDescent="0.3">
      <c r="A15" t="s">
        <v>251</v>
      </c>
      <c r="B15" s="14" t="s">
        <v>200</v>
      </c>
      <c r="C15" s="37">
        <f>C14*C11+(1-C14)*C13</f>
        <v>0.2007</v>
      </c>
      <c r="I15" s="38" t="s">
        <v>201</v>
      </c>
    </row>
    <row r="17" spans="1:9" x14ac:dyDescent="0.3">
      <c r="B17" s="3" t="s">
        <v>162</v>
      </c>
      <c r="C17" s="3"/>
      <c r="D17" s="3"/>
      <c r="E17" s="3"/>
      <c r="F17" s="3"/>
      <c r="G17" s="3"/>
      <c r="H17" s="3"/>
      <c r="I17" s="3"/>
    </row>
    <row r="18" spans="1:9" x14ac:dyDescent="0.3">
      <c r="B18" s="29" t="s">
        <v>48</v>
      </c>
      <c r="C18" s="4" t="s">
        <v>126</v>
      </c>
      <c r="D18" s="4" t="s">
        <v>127</v>
      </c>
      <c r="E18" s="4" t="s">
        <v>128</v>
      </c>
      <c r="F18" s="4" t="s">
        <v>129</v>
      </c>
      <c r="G18" s="4" t="s">
        <v>130</v>
      </c>
      <c r="H18" s="4" t="s">
        <v>131</v>
      </c>
      <c r="I18" s="4" t="s">
        <v>202</v>
      </c>
    </row>
    <row r="19" spans="1:9" x14ac:dyDescent="0.3">
      <c r="B19" s="5" t="s">
        <v>203</v>
      </c>
      <c r="C19" s="6">
        <f>Projections!C22</f>
        <v>1457394.9411354838</v>
      </c>
      <c r="D19" s="6">
        <f>Projections!D22</f>
        <v>1800036.6683694366</v>
      </c>
      <c r="E19" s="6">
        <f>Projections!E22</f>
        <v>2137609.5093204384</v>
      </c>
      <c r="F19" s="6">
        <f>Projections!F22</f>
        <v>2528628.032312457</v>
      </c>
      <c r="G19" s="6">
        <f>Projections!G22</f>
        <v>2915679.5680972924</v>
      </c>
      <c r="H19" s="6">
        <f>Projections!H22</f>
        <v>3491581.2622548155</v>
      </c>
    </row>
    <row r="20" spans="1:9" x14ac:dyDescent="0.3">
      <c r="B20" s="5" t="s">
        <v>204</v>
      </c>
      <c r="C20" s="39">
        <f>1/(1+Assumptions!$C$9)^1</f>
        <v>0.8328475056217207</v>
      </c>
      <c r="D20" s="39">
        <f>1/(1+Assumptions!$C$9)^2</f>
        <v>0.6936349676203222</v>
      </c>
      <c r="E20" s="39">
        <f>1/(1+Assumptions!$C$9)^3</f>
        <v>0.5776921525945884</v>
      </c>
      <c r="F20" s="39">
        <f>1/(1+Assumptions!$C$9)^4</f>
        <v>0.4811294683056454</v>
      </c>
      <c r="G20" s="39">
        <f>1/(1+Assumptions!$C$9)^5</f>
        <v>0.4007074775594615</v>
      </c>
      <c r="H20" s="39">
        <f>1/(1+Assumptions!$C$9)^6</f>
        <v>0.3337282231693692</v>
      </c>
    </row>
    <row r="21" spans="1:9" x14ac:dyDescent="0.3">
      <c r="B21" s="25" t="s">
        <v>205</v>
      </c>
      <c r="C21" s="26">
        <f>C19*C20</f>
        <v>1213787.7414304023</v>
      </c>
      <c r="D21" s="26">
        <f>D19*D20</f>
        <v>1248568.3761798267</v>
      </c>
      <c r="E21" s="26">
        <f>E19*E20</f>
        <v>1234880.2388459858</v>
      </c>
      <c r="F21" s="26">
        <f>F19*F20</f>
        <v>1216597.4607292428</v>
      </c>
      <c r="G21" s="26">
        <f>G19*G20</f>
        <v>1168334.6051039263</v>
      </c>
      <c r="H21" s="26">
        <f>H19*H20</f>
        <v>1165239.2107037627</v>
      </c>
      <c r="I21" s="22">
        <f>SUM(C21:H21)</f>
        <v>7247407.632993147</v>
      </c>
    </row>
    <row r="22" spans="1:9" x14ac:dyDescent="0.3">
      <c r="B22" s="5" t="s">
        <v>206</v>
      </c>
      <c r="C22" s="8">
        <f>H19*(1+Assumptions!$C$10)/(Assumptions!$C$9-Assumptions!$C$10)</f>
        <v>24327540.3143169</v>
      </c>
      <c r="I22" s="7" t="s">
        <v>207</v>
      </c>
    </row>
    <row r="23" spans="1:9" x14ac:dyDescent="0.3">
      <c r="B23" s="25" t="s">
        <v>208</v>
      </c>
      <c r="C23" s="61">
        <f>C22*H20</f>
        <v>8118786.803178175</v>
      </c>
      <c r="I23" s="22">
        <f>C23</f>
        <v>8118786.803178175</v>
      </c>
    </row>
    <row r="24" spans="1:9" x14ac:dyDescent="0.3">
      <c r="A24" t="s">
        <v>251</v>
      </c>
      <c r="B24" s="12" t="s">
        <v>209</v>
      </c>
      <c r="C24" s="62"/>
      <c r="D24" s="58"/>
      <c r="E24" s="60"/>
      <c r="F24" s="60"/>
      <c r="G24" s="60"/>
      <c r="H24" s="59"/>
      <c r="I24" s="24">
        <f>$I$21+$I$23</f>
        <v>15366194.436171323</v>
      </c>
    </row>
    <row r="25" spans="1:9" x14ac:dyDescent="0.3">
      <c r="B25" s="5" t="s">
        <v>210</v>
      </c>
      <c r="I25" s="6">
        <f>-'Audited Base'!$C$37</f>
        <v>-13881206</v>
      </c>
    </row>
    <row r="26" spans="1:9" x14ac:dyDescent="0.3">
      <c r="A26" t="s">
        <v>251</v>
      </c>
      <c r="B26" s="12" t="s">
        <v>211</v>
      </c>
      <c r="I26" s="24">
        <f>$I$24-'Audited Base'!$C$37</f>
        <v>1484988.436171323</v>
      </c>
    </row>
    <row r="27" spans="1:9" x14ac:dyDescent="0.3">
      <c r="B27" s="5" t="s">
        <v>212</v>
      </c>
      <c r="I27" s="35">
        <f>$I$23/$I$24</f>
        <v>0.5283537727511062</v>
      </c>
    </row>
    <row r="29" spans="1:9" x14ac:dyDescent="0.3">
      <c r="B29" s="3" t="s">
        <v>178</v>
      </c>
      <c r="C29" s="3"/>
      <c r="D29" s="3"/>
      <c r="E29" s="3"/>
      <c r="F29" s="3"/>
      <c r="G29" s="3"/>
      <c r="H29" s="3"/>
      <c r="I29" s="3"/>
    </row>
    <row r="30" spans="1:9" x14ac:dyDescent="0.3">
      <c r="B30" s="29" t="s">
        <v>48</v>
      </c>
      <c r="C30" s="4" t="s">
        <v>126</v>
      </c>
      <c r="D30" s="4" t="s">
        <v>127</v>
      </c>
      <c r="E30" s="4" t="s">
        <v>128</v>
      </c>
      <c r="F30" s="4" t="s">
        <v>129</v>
      </c>
      <c r="G30" s="4" t="s">
        <v>130</v>
      </c>
      <c r="H30" s="4" t="s">
        <v>131</v>
      </c>
      <c r="I30" s="4" t="s">
        <v>202</v>
      </c>
    </row>
    <row r="31" spans="1:9" x14ac:dyDescent="0.3">
      <c r="B31" s="5" t="s">
        <v>203</v>
      </c>
      <c r="C31" s="6">
        <f>Projections!C41</f>
        <v>1571257.8327741937</v>
      </c>
      <c r="D31" s="6">
        <f>Projections!D41</f>
        <v>2214800.845546775</v>
      </c>
      <c r="E31" s="6">
        <f>Projections!E41</f>
        <v>2915494.9258376407</v>
      </c>
      <c r="F31" s="6">
        <f>Projections!F41</f>
        <v>3612484.8512563389</v>
      </c>
      <c r="G31" s="6">
        <f>Projections!G41</f>
        <v>4605501.0646005729</v>
      </c>
      <c r="H31" s="6">
        <f>Projections!H41</f>
        <v>5737740.8704740703</v>
      </c>
    </row>
    <row r="32" spans="1:9" x14ac:dyDescent="0.3">
      <c r="B32" s="5" t="s">
        <v>204</v>
      </c>
      <c r="C32" s="39">
        <f>1/(1+Assumptions!$C$9)^1</f>
        <v>0.8328475056217207</v>
      </c>
      <c r="D32" s="39">
        <f>1/(1+Assumptions!$C$9)^2</f>
        <v>0.6936349676203222</v>
      </c>
      <c r="E32" s="39">
        <f>1/(1+Assumptions!$C$9)^3</f>
        <v>0.5776921525945884</v>
      </c>
      <c r="F32" s="39">
        <f>1/(1+Assumptions!$C$9)^4</f>
        <v>0.4811294683056454</v>
      </c>
      <c r="G32" s="39">
        <f>1/(1+Assumptions!$C$9)^5</f>
        <v>0.4007074775594615</v>
      </c>
      <c r="H32" s="39">
        <f>1/(1+Assumptions!$C$9)^6</f>
        <v>0.3337282231693692</v>
      </c>
    </row>
    <row r="33" spans="1:9" x14ac:dyDescent="0.3">
      <c r="B33" s="25" t="s">
        <v>205</v>
      </c>
      <c r="C33" s="26">
        <f>C31*C32</f>
        <v>1308618.166714578</v>
      </c>
      <c r="D33" s="26">
        <f>D31*D32</f>
        <v>1536263.3127862995</v>
      </c>
      <c r="E33" s="26">
        <f>E31*E32</f>
        <v>1684258.5395857464</v>
      </c>
      <c r="F33" s="26">
        <f>F31*F32</f>
        <v>1738072.9157471608</v>
      </c>
      <c r="G33" s="26">
        <f>G31*G32</f>
        <v>1845458.71449351</v>
      </c>
      <c r="H33" s="26">
        <f>H31*H32</f>
        <v>1914846.0657095811</v>
      </c>
      <c r="I33" s="22">
        <f>SUM(C33:H33)</f>
        <v>10027517.715036876</v>
      </c>
    </row>
    <row r="34" spans="1:9" x14ac:dyDescent="0.3">
      <c r="B34" s="5" t="s">
        <v>206</v>
      </c>
      <c r="C34" s="8">
        <f>H31*(1+Assumptions!$C$10)/(Assumptions!$C$9-Assumptions!$C$10)</f>
        <v>39977623.84869127</v>
      </c>
      <c r="I34" s="7" t="s">
        <v>207</v>
      </c>
    </row>
    <row r="35" spans="1:9" x14ac:dyDescent="0.3">
      <c r="B35" s="25" t="s">
        <v>208</v>
      </c>
      <c r="C35" s="26">
        <f>C34*H32</f>
        <v>13341661.373557135</v>
      </c>
      <c r="I35" s="22">
        <f>C35</f>
        <v>13341661.373557135</v>
      </c>
    </row>
    <row r="36" spans="1:9" x14ac:dyDescent="0.3">
      <c r="A36" t="s">
        <v>251</v>
      </c>
      <c r="B36" s="12" t="s">
        <v>209</v>
      </c>
      <c r="I36" s="24">
        <f>$I$33+$I$35</f>
        <v>23369179.088594012</v>
      </c>
    </row>
    <row r="37" spans="1:9" x14ac:dyDescent="0.3">
      <c r="B37" s="5" t="s">
        <v>210</v>
      </c>
      <c r="I37" s="6">
        <f>-'Audited Base'!$C$37</f>
        <v>-13881206</v>
      </c>
    </row>
    <row r="38" spans="1:9" x14ac:dyDescent="0.3">
      <c r="A38" t="s">
        <v>251</v>
      </c>
      <c r="B38" s="12" t="s">
        <v>211</v>
      </c>
      <c r="I38" s="24">
        <f>$I$36-'Audited Base'!$C$37</f>
        <v>9487973.088594012</v>
      </c>
    </row>
    <row r="39" spans="1:9" x14ac:dyDescent="0.3">
      <c r="B39" s="5" t="s">
        <v>212</v>
      </c>
      <c r="I39" s="35">
        <f>$I$35/$I$36</f>
        <v>0.5709084312708661</v>
      </c>
    </row>
    <row r="41" spans="1:9" x14ac:dyDescent="0.3">
      <c r="B41" s="3" t="s">
        <v>179</v>
      </c>
      <c r="C41" s="3"/>
      <c r="D41" s="3"/>
      <c r="E41" s="3"/>
      <c r="F41" s="3"/>
      <c r="G41" s="3"/>
      <c r="H41" s="3"/>
      <c r="I41" s="3"/>
    </row>
    <row r="42" spans="1:9" x14ac:dyDescent="0.3">
      <c r="B42" s="29" t="s">
        <v>48</v>
      </c>
      <c r="C42" s="4" t="s">
        <v>126</v>
      </c>
      <c r="D42" s="4" t="s">
        <v>127</v>
      </c>
      <c r="E42" s="4" t="s">
        <v>128</v>
      </c>
      <c r="F42" s="4" t="s">
        <v>129</v>
      </c>
      <c r="G42" s="4" t="s">
        <v>130</v>
      </c>
      <c r="H42" s="4" t="s">
        <v>131</v>
      </c>
      <c r="I42" s="4" t="s">
        <v>202</v>
      </c>
    </row>
    <row r="43" spans="1:9" x14ac:dyDescent="0.3">
      <c r="B43" s="5" t="s">
        <v>203</v>
      </c>
      <c r="C43" s="6">
        <f>Projections!C60</f>
        <v>1571257.8327741937</v>
      </c>
      <c r="D43" s="6">
        <f>Projections!D60</f>
        <v>2511061.0041014515</v>
      </c>
      <c r="E43" s="6">
        <f>Projections!E60</f>
        <v>3693380.3607018404</v>
      </c>
      <c r="F43" s="6">
        <f>Projections!F60</f>
        <v>4997413.0365188811</v>
      </c>
      <c r="G43" s="6">
        <f>Projections!G60</f>
        <v>6355673.2498208992</v>
      </c>
      <c r="H43" s="6">
        <f>Projections!H60</f>
        <v>7796720.4690115061</v>
      </c>
    </row>
    <row r="44" spans="1:9" x14ac:dyDescent="0.3">
      <c r="B44" s="5" t="s">
        <v>204</v>
      </c>
      <c r="C44" s="39">
        <f>1/(1+Assumptions!$C$9)^1</f>
        <v>0.8328475056217207</v>
      </c>
      <c r="D44" s="39">
        <f>1/(1+Assumptions!$C$9)^2</f>
        <v>0.6936349676203222</v>
      </c>
      <c r="E44" s="39">
        <f>1/(1+Assumptions!$C$9)^3</f>
        <v>0.5776921525945884</v>
      </c>
      <c r="F44" s="39">
        <f>1/(1+Assumptions!$C$9)^4</f>
        <v>0.4811294683056454</v>
      </c>
      <c r="G44" s="39">
        <f>1/(1+Assumptions!$C$9)^5</f>
        <v>0.4007074775594615</v>
      </c>
      <c r="H44" s="39">
        <f>1/(1+Assumptions!$C$9)^6</f>
        <v>0.3337282231693692</v>
      </c>
    </row>
    <row r="45" spans="1:9" x14ac:dyDescent="0.3">
      <c r="B45" s="25" t="s">
        <v>205</v>
      </c>
      <c r="C45" s="26">
        <f>C43*C44</f>
        <v>1308618.166714578</v>
      </c>
      <c r="D45" s="26">
        <f>D43*D44</f>
        <v>1741759.718272564</v>
      </c>
      <c r="E45" s="26">
        <f>E43*E44</f>
        <v>2133636.8509244234</v>
      </c>
      <c r="F45" s="26">
        <f>F43*F44</f>
        <v>2404402.6771640303</v>
      </c>
      <c r="G45" s="26">
        <f>G43*G44</f>
        <v>2546765.7961278777</v>
      </c>
      <c r="H45" s="26">
        <f>H43*H44</f>
        <v>2601985.668671461</v>
      </c>
      <c r="I45" s="22">
        <f>SUM(C45:H45)</f>
        <v>12737168.877874933</v>
      </c>
    </row>
    <row r="46" spans="1:9" x14ac:dyDescent="0.3">
      <c r="B46" s="5" t="s">
        <v>206</v>
      </c>
      <c r="C46" s="8">
        <f>H43*(1+Assumptions!$C$10)/(Assumptions!$C$9-Assumptions!$C$10)</f>
        <v>54323533.46026597</v>
      </c>
      <c r="I46" s="7" t="s">
        <v>207</v>
      </c>
    </row>
    <row r="47" spans="1:9" x14ac:dyDescent="0.3">
      <c r="B47" s="25" t="s">
        <v>208</v>
      </c>
      <c r="C47" s="26">
        <f>C46*H44</f>
        <v>18129296.297976337</v>
      </c>
      <c r="I47" s="22">
        <f>C47</f>
        <v>18129296.297976337</v>
      </c>
    </row>
    <row r="48" spans="1:9" x14ac:dyDescent="0.3">
      <c r="A48" t="s">
        <v>251</v>
      </c>
      <c r="B48" s="12" t="s">
        <v>209</v>
      </c>
      <c r="I48" s="24">
        <f>$I$45+$I$47</f>
        <v>30866465.17585127</v>
      </c>
    </row>
    <row r="49" spans="1:9" x14ac:dyDescent="0.3">
      <c r="B49" s="5" t="s">
        <v>210</v>
      </c>
      <c r="I49" s="6">
        <f>-'Audited Base'!$C$37</f>
        <v>-13881206</v>
      </c>
    </row>
    <row r="50" spans="1:9" x14ac:dyDescent="0.3">
      <c r="A50" t="s">
        <v>251</v>
      </c>
      <c r="B50" s="12" t="s">
        <v>211</v>
      </c>
      <c r="I50" s="24">
        <f>$I$48-'Audited Base'!$C$37</f>
        <v>16985259.17585127</v>
      </c>
    </row>
    <row r="51" spans="1:9" x14ac:dyDescent="0.3">
      <c r="B51" s="5" t="s">
        <v>212</v>
      </c>
      <c r="I51" s="35">
        <f>$I$47/$I$48</f>
        <v>0.5873460467433115</v>
      </c>
    </row>
    <row r="53" spans="1:9" x14ac:dyDescent="0.3">
      <c r="B53" s="3" t="s">
        <v>213</v>
      </c>
      <c r="C53" s="3"/>
      <c r="D53" s="3"/>
      <c r="E53" s="3"/>
      <c r="F53" s="3"/>
      <c r="G53" s="3"/>
    </row>
    <row r="54" spans="1:9" x14ac:dyDescent="0.3">
      <c r="B54" s="29" t="s">
        <v>214</v>
      </c>
      <c r="C54" s="4" t="s">
        <v>215</v>
      </c>
      <c r="D54" s="4" t="s">
        <v>216</v>
      </c>
      <c r="E54" s="4" t="s">
        <v>217</v>
      </c>
      <c r="F54" s="29" t="s">
        <v>218</v>
      </c>
    </row>
    <row r="55" spans="1:9" x14ac:dyDescent="0.3">
      <c r="B55" s="33">
        <f>Assumptions!$C$9-0.06</f>
        <v>0.1407</v>
      </c>
      <c r="C55" s="10">
        <f>(NPV($B55,Projections!$C$22:$H$22)+(Projections!$H$22*(1+Assumptions!$C$10)/($B55-Assumptions!$C$10))/(1+$B55)^6-'Audited Base'!$C$37)/100000</f>
        <v>131.55429801838994</v>
      </c>
      <c r="D55" s="10">
        <f>(NPV($B55,Projections!$C$41:$H$41)+(Projections!$H$41*(1+Assumptions!$C$10)/($B55-Assumptions!$C$10))/(1+$B55)^6-'Audited Base'!$C$37)/100000</f>
        <v>284.3579668243765</v>
      </c>
      <c r="E55" s="10">
        <f>(NPV($B55,Projections!$C$60:$H$60)+(Projections!$H$60*(1+Assumptions!$C$10)/($B55-Assumptions!$C$10))/(1+$B55)^6-'Audited Base'!$C$37)/100000</f>
        <v>426.65791184940343</v>
      </c>
      <c r="F55" s="7"/>
    </row>
    <row r="56" spans="1:9" x14ac:dyDescent="0.3">
      <c r="B56" s="33">
        <f>Assumptions!$C$9-0.04</f>
        <v>0.16069999999999998</v>
      </c>
      <c r="C56" s="10">
        <f>(NPV($B56,Projections!$C$22:$H$22)+(Projections!$H$22*(1+Assumptions!$C$10)/($B56-Assumptions!$C$10))/(1+$B56)^6-'Audited Base'!$C$37)/100000</f>
        <v>78.26523799334139</v>
      </c>
      <c r="D56" s="10">
        <f>(NPV($B56,Projections!$C$41:$H$41)+(Projections!$H$41*(1+Assumptions!$C$10)/($B56-Assumptions!$C$10))/(1+$B56)^6-'Audited Base'!$C$37)/100000</f>
        <v>197.6071067420374</v>
      </c>
      <c r="E56" s="10">
        <f>(NPV($B56,Projections!$C$60:$H$60)+(Projections!$H$60*(1+Assumptions!$C$10)/($B56-Assumptions!$C$10))/(1+$B56)^6-'Audited Base'!$C$37)/100000</f>
        <v>309.00739386409</v>
      </c>
      <c r="F56" s="7"/>
    </row>
    <row r="57" spans="1:9" x14ac:dyDescent="0.3">
      <c r="B57" s="33">
        <f>Assumptions!$C$9-0.02</f>
        <v>0.1807</v>
      </c>
      <c r="C57" s="10">
        <f>(NPV($B57,Projections!$C$22:$H$22)+(Projections!$H$22*(1+Assumptions!$C$10)/($B57-Assumptions!$C$10))/(1+$B57)^6-'Audited Base'!$C$37)/100000</f>
        <v>41.5748266005661</v>
      </c>
      <c r="D57" s="10">
        <f>(NPV($B57,Projections!$C$41:$H$41)+(Projections!$H$41*(1+Assumptions!$C$10)/($B57-Assumptions!$C$10))/(1+$B57)^6-'Audited Base'!$C$37)/100000</f>
        <v>138.07961362714155</v>
      </c>
      <c r="E57" s="10">
        <f>(NPV($B57,Projections!$C$60:$H$60)+(Projections!$H$60*(1+Assumptions!$C$10)/($B57-Assumptions!$C$10))/(1+$B57)^6-'Audited Base'!$C$37)/100000</f>
        <v>228.34073700242058</v>
      </c>
      <c r="F57" s="7"/>
    </row>
    <row r="58" spans="1:9" x14ac:dyDescent="0.3">
      <c r="B58" s="33">
        <f>Assumptions!$C$9</f>
        <v>0.2007</v>
      </c>
      <c r="C58" s="13">
        <f>(NPV($B58,Projections!$C$22:$H$22)+(Projections!$H$22*(1+Assumptions!$C$10)/($B58-Assumptions!$C$10))/(1+$B58)^6-'Audited Base'!$C$37)/100000</f>
        <v>14.849884361713231</v>
      </c>
      <c r="D58" s="13">
        <f>(NPV($B58,Projections!$C$41:$H$41)+(Projections!$H$41*(1+Assumptions!$C$10)/($B58-Assumptions!$C$10))/(1+$B58)^6-'Audited Base'!$C$37)/100000</f>
        <v>94.87973088594012</v>
      </c>
      <c r="E58" s="13">
        <f>(NPV($B58,Projections!$C$60:$H$60)+(Projections!$H$60*(1+Assumptions!$C$10)/($B58-Assumptions!$C$10))/(1+$B58)^6-'Audited Base'!$C$37)/100000</f>
        <v>169.85259175851266</v>
      </c>
      <c r="F58" s="7" t="s">
        <v>220</v>
      </c>
    </row>
    <row r="59" spans="1:9" x14ac:dyDescent="0.3">
      <c r="B59" s="33">
        <f>Assumptions!$C$9+0.02</f>
        <v>0.22069999999999998</v>
      </c>
      <c r="C59" s="10">
        <f>(NPV($B59,Projections!$C$22:$H$22)+(Projections!$H$22*(1+Assumptions!$C$10)/($B59-Assumptions!$C$10))/(1+$B59)^6-'Audited Base'!$C$37)/100000</f>
        <v>-5.431571822737884</v>
      </c>
      <c r="D59" s="10">
        <f>(NPV($B59,Projections!$C$41:$H$41)+(Projections!$H$41*(1+Assumptions!$C$10)/($B59-Assumptions!$C$10))/(1+$B59)^6-'Audited Base'!$C$37)/100000</f>
        <v>62.22387277486961</v>
      </c>
      <c r="E59" s="10">
        <f>(NPV($B59,Projections!$C$60:$H$60)+(Projections!$H$60*(1+Assumptions!$C$10)/($B59-Assumptions!$C$10))/(1+$B59)^6-'Audited Base'!$C$37)/100000</f>
        <v>125.68427158295758</v>
      </c>
      <c r="F59" s="7"/>
    </row>
    <row r="60" spans="1:9" x14ac:dyDescent="0.3">
      <c r="B60" s="33">
        <f>Assumptions!$C$9+0.04</f>
        <v>0.2407</v>
      </c>
      <c r="C60" s="10">
        <f>(NPV($B60,Projections!$C$22:$H$22)+(Projections!$H$22*(1+Assumptions!$C$10)/($B60-Assumptions!$C$10))/(1+$B60)^6-'Audited Base'!$C$37)/100000</f>
        <v>-21.312083582414797</v>
      </c>
      <c r="D60" s="10">
        <f>(NPV($B60,Projections!$C$41:$H$41)+(Projections!$H$41*(1+Assumptions!$C$10)/($B60-Assumptions!$C$10))/(1+$B60)^6-'Audited Base'!$C$37)/100000</f>
        <v>36.7592080362745</v>
      </c>
      <c r="E60" s="10">
        <f>(NPV($B60,Projections!$C$60:$H$60)+(Projections!$H$60*(1+Assumptions!$C$10)/($B60-Assumptions!$C$10))/(1+$B60)^6-'Audited Base'!$C$37)/100000</f>
        <v>91.28011159456469</v>
      </c>
      <c r="F60" s="7"/>
    </row>
    <row r="62" spans="1:9" ht="24" customHeight="1" x14ac:dyDescent="0.3">
      <c r="B62" s="45"/>
      <c r="C62" s="44"/>
      <c r="D62" s="44"/>
      <c r="E62" s="44"/>
      <c r="F62" s="44"/>
      <c r="G62" s="44"/>
      <c r="H62" s="44"/>
      <c r="I62" s="44"/>
    </row>
  </sheetData>
  <mergeCells count="1">
    <mergeCell ref="B62:I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5"/>
  <sheetViews>
    <sheetView topLeftCell="A4" workbookViewId="0">
      <selection activeCell="A11" sqref="A11"/>
    </sheetView>
  </sheetViews>
  <sheetFormatPr defaultRowHeight="14.4" x14ac:dyDescent="0.3"/>
  <cols>
    <col min="1" max="1" width="3" customWidth="1"/>
    <col min="2" max="2" width="34" customWidth="1"/>
    <col min="3" max="5" width="18" customWidth="1"/>
    <col min="6" max="6" width="40" customWidth="1"/>
  </cols>
  <sheetData>
    <row r="2" spans="1:6" ht="21" x14ac:dyDescent="0.4">
      <c r="B2" s="1" t="s">
        <v>221</v>
      </c>
    </row>
    <row r="3" spans="1:6" x14ac:dyDescent="0.3">
      <c r="B3" s="2" t="s">
        <v>222</v>
      </c>
    </row>
    <row r="5" spans="1:6" x14ac:dyDescent="0.3">
      <c r="B5" s="3" t="s">
        <v>223</v>
      </c>
      <c r="C5" s="3"/>
      <c r="D5" s="3"/>
      <c r="E5" s="3"/>
      <c r="F5" s="3"/>
    </row>
    <row r="6" spans="1:6" x14ac:dyDescent="0.3">
      <c r="B6" s="4" t="s">
        <v>224</v>
      </c>
      <c r="C6" s="4" t="s">
        <v>225</v>
      </c>
      <c r="D6" s="4" t="s">
        <v>210</v>
      </c>
      <c r="E6" s="4" t="s">
        <v>226</v>
      </c>
      <c r="F6" s="4" t="s">
        <v>227</v>
      </c>
    </row>
    <row r="7" spans="1:6" x14ac:dyDescent="0.3">
      <c r="B7" s="40">
        <v>2</v>
      </c>
      <c r="C7" s="8">
        <f>B7*'Audited Base'!$C$7</f>
        <v>12181800</v>
      </c>
      <c r="D7" s="6">
        <f>-'Audited Base'!$C$37</f>
        <v>-13881206</v>
      </c>
      <c r="E7" s="41">
        <f>C7+D7</f>
        <v>-1699406</v>
      </c>
      <c r="F7" s="7" t="s">
        <v>228</v>
      </c>
    </row>
    <row r="8" spans="1:6" x14ac:dyDescent="0.3">
      <c r="B8" s="40">
        <v>3</v>
      </c>
      <c r="C8" s="8">
        <f>B8*'Audited Base'!$C$7</f>
        <v>18272700</v>
      </c>
      <c r="D8" s="6">
        <f>-'Audited Base'!$C$37</f>
        <v>-13881206</v>
      </c>
      <c r="E8" s="41">
        <f>C8+D8</f>
        <v>4391494</v>
      </c>
      <c r="F8" s="7" t="s">
        <v>229</v>
      </c>
    </row>
    <row r="9" spans="1:6" x14ac:dyDescent="0.3">
      <c r="B9" s="40">
        <v>4</v>
      </c>
      <c r="C9" s="8">
        <f>B9*'Audited Base'!$C$7</f>
        <v>24363600</v>
      </c>
      <c r="D9" s="6">
        <f>-'Audited Base'!$C$37</f>
        <v>-13881206</v>
      </c>
      <c r="E9" s="41">
        <f>C9+D9</f>
        <v>10482394</v>
      </c>
      <c r="F9" s="7" t="s">
        <v>230</v>
      </c>
    </row>
    <row r="10" spans="1:6" x14ac:dyDescent="0.3">
      <c r="B10" s="40">
        <v>5</v>
      </c>
      <c r="C10" s="8">
        <f>B10*'Audited Base'!$C$7</f>
        <v>30454500</v>
      </c>
      <c r="D10" s="6">
        <f>-'Audited Base'!$C$37</f>
        <v>-13881206</v>
      </c>
      <c r="E10" s="41">
        <f>C10+D10</f>
        <v>16573294</v>
      </c>
      <c r="F10" s="7" t="s">
        <v>231</v>
      </c>
    </row>
    <row r="11" spans="1:6" x14ac:dyDescent="0.3">
      <c r="A11" t="s">
        <v>251</v>
      </c>
      <c r="B11" s="40">
        <v>16.399999999999999</v>
      </c>
      <c r="C11" s="8">
        <f>B11*'Audited Base'!$C$7</f>
        <v>99890759.999999985</v>
      </c>
      <c r="D11" s="6">
        <f>-'Audited Base'!$C$37</f>
        <v>-13881206</v>
      </c>
      <c r="E11" s="42">
        <f>C11+D11</f>
        <v>86009553.999999985</v>
      </c>
      <c r="F11" s="7" t="s">
        <v>232</v>
      </c>
    </row>
    <row r="13" spans="1:6" x14ac:dyDescent="0.3">
      <c r="B13" s="3" t="s">
        <v>233</v>
      </c>
      <c r="C13" s="3"/>
      <c r="D13" s="3"/>
      <c r="E13" s="3"/>
      <c r="F13" s="3"/>
    </row>
    <row r="14" spans="1:6" x14ac:dyDescent="0.3">
      <c r="B14" s="4" t="s">
        <v>224</v>
      </c>
      <c r="C14" s="4" t="s">
        <v>225</v>
      </c>
      <c r="D14" s="4" t="s">
        <v>210</v>
      </c>
      <c r="E14" s="4" t="s">
        <v>226</v>
      </c>
      <c r="F14" s="4" t="s">
        <v>227</v>
      </c>
    </row>
    <row r="15" spans="1:6" x14ac:dyDescent="0.3">
      <c r="B15" s="40">
        <v>8</v>
      </c>
      <c r="C15" s="8">
        <f>B15*'Audited Base'!$C$25</f>
        <v>18193760</v>
      </c>
      <c r="D15" s="6">
        <f>-'Audited Base'!$C$37</f>
        <v>-13881206</v>
      </c>
      <c r="E15" s="41">
        <f>C15+D15</f>
        <v>4312554</v>
      </c>
      <c r="F15" s="7" t="s">
        <v>234</v>
      </c>
    </row>
    <row r="16" spans="1:6" x14ac:dyDescent="0.3">
      <c r="B16" s="40">
        <v>10</v>
      </c>
      <c r="C16" s="8">
        <f>B16*'Audited Base'!$C$25</f>
        <v>22742200</v>
      </c>
      <c r="D16" s="6">
        <f>-'Audited Base'!$C$37</f>
        <v>-13881206</v>
      </c>
      <c r="E16" s="41">
        <f>C16+D16</f>
        <v>8860994</v>
      </c>
      <c r="F16" s="7" t="s">
        <v>235</v>
      </c>
    </row>
    <row r="17" spans="1:6" x14ac:dyDescent="0.3">
      <c r="B17" s="40">
        <v>12</v>
      </c>
      <c r="C17" s="8">
        <f>B17*'Audited Base'!$C$25</f>
        <v>27290640</v>
      </c>
      <c r="D17" s="6">
        <f>-'Audited Base'!$C$37</f>
        <v>-13881206</v>
      </c>
      <c r="E17" s="41">
        <f>C17+D17</f>
        <v>13409434</v>
      </c>
      <c r="F17" s="7" t="s">
        <v>236</v>
      </c>
    </row>
    <row r="18" spans="1:6" x14ac:dyDescent="0.3">
      <c r="B18" s="40">
        <v>15</v>
      </c>
      <c r="C18" s="8">
        <f>B18*'Audited Base'!$C$25</f>
        <v>34113300</v>
      </c>
      <c r="D18" s="6">
        <f>-'Audited Base'!$C$37</f>
        <v>-13881206</v>
      </c>
      <c r="E18" s="41">
        <f>C18+D18</f>
        <v>20232094</v>
      </c>
      <c r="F18" s="7" t="s">
        <v>231</v>
      </c>
    </row>
    <row r="19" spans="1:6" x14ac:dyDescent="0.3">
      <c r="A19" t="s">
        <v>251</v>
      </c>
      <c r="B19" s="40">
        <v>50.1</v>
      </c>
      <c r="C19" s="8">
        <f>B19*'Audited Base'!$C$25</f>
        <v>113938422</v>
      </c>
      <c r="D19" s="6">
        <f>-'Audited Base'!$C$37</f>
        <v>-13881206</v>
      </c>
      <c r="E19" s="42">
        <f>C19+D19</f>
        <v>100057216</v>
      </c>
      <c r="F19" s="7" t="s">
        <v>232</v>
      </c>
    </row>
    <row r="21" spans="1:6" x14ac:dyDescent="0.3">
      <c r="B21" s="3" t="s">
        <v>237</v>
      </c>
      <c r="C21" s="3"/>
      <c r="D21" s="3"/>
      <c r="E21" s="3"/>
      <c r="F21" s="3"/>
    </row>
    <row r="22" spans="1:6" x14ac:dyDescent="0.3">
      <c r="B22" s="5" t="s">
        <v>238</v>
      </c>
      <c r="C22" s="6">
        <f>'Audited Base'!$C$32</f>
        <v>1318945</v>
      </c>
      <c r="F22" s="7" t="s">
        <v>239</v>
      </c>
    </row>
    <row r="23" spans="1:6" x14ac:dyDescent="0.3">
      <c r="A23" t="s">
        <v>251</v>
      </c>
      <c r="B23" s="5" t="s">
        <v>240</v>
      </c>
      <c r="C23" s="8">
        <f>'Audited Base'!$C$32/6000</f>
        <v>219.82416666666666</v>
      </c>
      <c r="F23" s="7" t="s">
        <v>241</v>
      </c>
    </row>
    <row r="25" spans="1:6" ht="24" customHeight="1" x14ac:dyDescent="0.3">
      <c r="B25" s="45" t="s">
        <v>242</v>
      </c>
      <c r="C25" s="44"/>
      <c r="D25" s="44"/>
      <c r="E25" s="44"/>
      <c r="F25" s="44"/>
    </row>
  </sheetData>
  <mergeCells count="1">
    <mergeCell ref="B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16"/>
  <sheetViews>
    <sheetView workbookViewId="0"/>
  </sheetViews>
  <sheetFormatPr defaultRowHeight="14.4" x14ac:dyDescent="0.3"/>
  <cols>
    <col min="1" max="1" width="3" customWidth="1"/>
    <col min="2" max="2" width="48" customWidth="1"/>
    <col min="3" max="4" width="20" customWidth="1"/>
    <col min="5" max="5" width="16" customWidth="1"/>
    <col min="6" max="6" width="38" customWidth="1"/>
  </cols>
  <sheetData>
    <row r="2" spans="1:6" ht="21" x14ac:dyDescent="0.4">
      <c r="B2" s="1" t="s">
        <v>243</v>
      </c>
    </row>
    <row r="3" spans="1:6" x14ac:dyDescent="0.3">
      <c r="B3" s="2"/>
    </row>
    <row r="5" spans="1:6" x14ac:dyDescent="0.3">
      <c r="B5" s="3" t="s">
        <v>244</v>
      </c>
      <c r="C5" s="3"/>
      <c r="D5" s="3"/>
      <c r="E5" s="3"/>
      <c r="F5" s="3"/>
    </row>
    <row r="6" spans="1:6" x14ac:dyDescent="0.3">
      <c r="B6" s="25" t="s">
        <v>245</v>
      </c>
      <c r="C6" s="27">
        <v>100000000</v>
      </c>
    </row>
    <row r="7" spans="1:6" x14ac:dyDescent="0.3">
      <c r="B7" s="5" t="s">
        <v>246</v>
      </c>
      <c r="C7" s="6">
        <f>'Audited Base'!$C$37</f>
        <v>13881206</v>
      </c>
    </row>
    <row r="8" spans="1:6" x14ac:dyDescent="0.3">
      <c r="A8" t="s">
        <v>251</v>
      </c>
      <c r="B8" s="12" t="s">
        <v>247</v>
      </c>
      <c r="C8" s="24">
        <f>$C$6+C7</f>
        <v>113881206</v>
      </c>
    </row>
    <row r="11" spans="1:6" x14ac:dyDescent="0.3">
      <c r="B11" s="3" t="s">
        <v>248</v>
      </c>
      <c r="C11" s="3"/>
      <c r="D11" s="3"/>
      <c r="E11" s="3"/>
      <c r="F11" s="3"/>
    </row>
    <row r="12" spans="1:6" x14ac:dyDescent="0.3">
      <c r="B12" s="4" t="s">
        <v>2</v>
      </c>
      <c r="C12" s="4" t="s">
        <v>249</v>
      </c>
      <c r="D12" s="4" t="s">
        <v>250</v>
      </c>
    </row>
    <row r="13" spans="1:6" x14ac:dyDescent="0.3">
      <c r="A13" t="s">
        <v>251</v>
      </c>
      <c r="B13" s="5" t="s">
        <v>164</v>
      </c>
      <c r="C13" s="6">
        <f>'Audited Base'!$C$7</f>
        <v>6090900</v>
      </c>
      <c r="D13" s="43">
        <f>$C$6/C13</f>
        <v>16.417934952141721</v>
      </c>
    </row>
    <row r="14" spans="1:6" x14ac:dyDescent="0.3">
      <c r="B14" s="5" t="s">
        <v>83</v>
      </c>
      <c r="C14" s="6">
        <f>'Audited Base'!$C$25</f>
        <v>2274220</v>
      </c>
      <c r="D14" s="43">
        <f>$C$6/C14</f>
        <v>43.971119768536028</v>
      </c>
    </row>
    <row r="15" spans="1:6" x14ac:dyDescent="0.3">
      <c r="B15" s="5" t="s">
        <v>67</v>
      </c>
      <c r="C15" s="8">
        <v>1258940</v>
      </c>
      <c r="D15" s="43">
        <f>$C$6/C15</f>
        <v>79.431903029532776</v>
      </c>
    </row>
    <row r="16" spans="1:6" x14ac:dyDescent="0.3">
      <c r="B16" s="5" t="s">
        <v>10</v>
      </c>
      <c r="C16" s="6">
        <f>'Audited Base'!$C$32</f>
        <v>1318945</v>
      </c>
      <c r="D16" s="43">
        <f>$C$6/C16</f>
        <v>75.818172857852304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Audited Base</vt:lpstr>
      <vt:lpstr>Assumptions</vt:lpstr>
      <vt:lpstr>Projections</vt:lpstr>
      <vt:lpstr>DCF</vt:lpstr>
      <vt:lpstr>Multiples &amp; NAV</vt:lpstr>
      <vt:lpstr>Reverse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16010422176_FY_Aadit Pagare</cp:lastModifiedBy>
  <dcterms:created xsi:type="dcterms:W3CDTF">2026-10-02T19:39:36Z</dcterms:created>
  <dcterms:modified xsi:type="dcterms:W3CDTF">2026-10-05T11:54:35Z</dcterms:modified>
</cp:coreProperties>
</file>