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ed Base" sheetId="2" state="visible" r:id="rId2"/>
    <sheet name="Assumptions" sheetId="3" state="visible" r:id="rId3"/>
    <sheet name="Projections" sheetId="4" state="visible" r:id="rId4"/>
    <sheet name="DCF" sheetId="5" state="visible" r:id="rId5"/>
    <sheet name="Multiples &amp; NAV" sheetId="6" state="visible" r:id="rId6"/>
    <sheet name="Reverse Test" sheetId="7" state="visible" r:id="rId7"/>
    <sheet name="Open 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₹#,##0;(₹#,##0);-"/>
    <numFmt numFmtId="165" formatCode="#,##0.0;(#,##0.0);-"/>
    <numFmt numFmtId="166" formatCode="0.0%;(0.0%);-"/>
    <numFmt numFmtId="167" formatCode="#,##0;(#,##0);-"/>
    <numFmt numFmtId="168" formatCode="0.0x"/>
    <numFmt numFmtId="169" formatCode="0.0000"/>
    <numFmt numFmtId="170" formatCode="0.00x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0000FF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5" fillId="0" borderId="1" pivotButton="0" quotePrefix="0" xfId="0"/>
    <xf numFmtId="164" fontId="9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168" fontId="9" fillId="0" borderId="1" pivotButton="0" quotePrefix="0" xfId="0"/>
    <xf numFmtId="165" fontId="5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7" fillId="5" borderId="1" pivotButton="0" quotePrefix="0" xfId="0"/>
    <xf numFmtId="165" fontId="7" fillId="5" borderId="1" applyAlignment="1" pivotButton="0" quotePrefix="0" xfId="0">
      <alignment horizontal="center"/>
    </xf>
    <xf numFmtId="0" fontId="4" fillId="5" borderId="1" pivotButton="0" quotePrefix="0" xfId="0"/>
    <xf numFmtId="0" fontId="4" fillId="6" borderId="1" pivotButton="0" quotePrefix="0" xfId="0"/>
    <xf numFmtId="165" fontId="4" fillId="6" borderId="1" applyAlignment="1" pivotButton="0" quotePrefix="0" xfId="0">
      <alignment horizontal="center"/>
    </xf>
    <xf numFmtId="168" fontId="4" fillId="6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6" fontId="4" fillId="6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5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6" fillId="4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6" fillId="5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8" fillId="6" borderId="1" pivotButton="0" quotePrefix="0" xfId="0"/>
    <xf numFmtId="166" fontId="8" fillId="6" borderId="1" pivotButton="0" quotePrefix="0" xfId="0"/>
    <xf numFmtId="0" fontId="4" fillId="3" borderId="1" pivotButton="0" quotePrefix="0" xfId="0"/>
    <xf numFmtId="167" fontId="8" fillId="6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166" fontId="8" fillId="6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8" fontId="8" fillId="6" borderId="1" pivotButton="0" quotePrefix="0" xfId="0"/>
    <xf numFmtId="166" fontId="4" fillId="5" borderId="1" pivotButton="0" quotePrefix="0" xfId="0"/>
    <xf numFmtId="0" fontId="6" fillId="5" borderId="1" applyAlignment="1" pivotButton="0" quotePrefix="0" xfId="0">
      <alignment vertical="top" wrapText="1"/>
    </xf>
    <xf numFmtId="169" fontId="5" fillId="0" borderId="1" applyAlignment="1" pivotButton="0" quotePrefix="0" xfId="0">
      <alignment horizontal="center"/>
    </xf>
    <xf numFmtId="168" fontId="8" fillId="6" borderId="1" applyAlignment="1" pivotButton="0" quotePrefix="0" xfId="0">
      <alignment horizontal="center"/>
    </xf>
    <xf numFmtId="164" fontId="4" fillId="5" borderId="1" pivotButton="0" quotePrefix="0" xfId="0"/>
    <xf numFmtId="164" fontId="4" fillId="6" borderId="1" pivotButton="0" quotePrefix="0" xfId="0"/>
    <xf numFmtId="170" fontId="5" fillId="0" borderId="1" pivotButton="0" quotePrefix="0" xfId="0"/>
    <xf numFmtId="167" fontId="7" fillId="5" borderId="1" pivotButton="0" quotePrefix="0" xfId="0"/>
    <xf numFmtId="168" fontId="7" fillId="6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8" customWidth="1" min="4" max="4"/>
    <col width="18" customWidth="1" min="5" max="5"/>
    <col width="42" customWidth="1" min="6" max="6"/>
  </cols>
  <sheetData>
    <row r="2">
      <c r="B2" s="1" t="inlineStr">
        <is>
          <t>ASTRAL SCHOOL — VALUATION SUMMARY</t>
        </is>
      </c>
    </row>
    <row r="3">
      <c r="B3" s="2" t="inlineStr">
        <is>
          <t>Excelerate Learning Foundation, Nagre Nagar, Nashik · CIN U88900MH2025NPL445351</t>
        </is>
      </c>
    </row>
    <row r="4">
      <c r="B4" s="2" t="inlineStr">
        <is>
          <t>Valuation date 31 March 2026 · basis: audited FY 2025-26 · PRELIMINARY, subject to the open questions</t>
        </is>
      </c>
    </row>
    <row r="6">
      <c r="B6" s="3" t="inlineStr">
        <is>
          <t>THE BUSINESS TODAY</t>
        </is>
      </c>
      <c r="C6" s="3" t="n"/>
      <c r="D6" s="3" t="n"/>
      <c r="E6" s="3" t="n"/>
      <c r="F6" s="3" t="n"/>
    </row>
    <row r="7">
      <c r="B7" s="4" t="inlineStr">
        <is>
          <t>Metric</t>
        </is>
      </c>
      <c r="C7" s="4" t="inlineStr">
        <is>
          <t>Value</t>
        </is>
      </c>
      <c r="D7" s="4" t="inlineStr"/>
    </row>
    <row r="8">
      <c r="B8" s="5" t="inlineStr">
        <is>
          <t>Revenue, FY26 audited</t>
        </is>
      </c>
      <c r="C8" s="6">
        <f>'Audited Base'!$C$7</f>
        <v>6090900</v>
      </c>
      <c r="F8" s="7" t="inlineStr">
        <is>
          <t>155 students at Nagre Nagar</t>
        </is>
      </c>
    </row>
    <row r="9">
      <c r="B9" s="5" t="inlineStr">
        <is>
          <t>Adjusted EBITDA, FY26</t>
        </is>
      </c>
      <c r="C9" s="6">
        <f>'Audited Base'!$C$25</f>
        <v>2274220</v>
      </c>
      <c r="F9" s="7" t="inlineStr">
        <is>
          <t>After normalising loan and non-cash items</t>
        </is>
      </c>
    </row>
    <row r="10">
      <c r="B10" s="5" t="inlineStr">
        <is>
          <t>Profit after tax, FY26</t>
        </is>
      </c>
      <c r="C10" s="8" t="n">
        <v>1258940</v>
      </c>
      <c r="F10" s="7" t="inlineStr">
        <is>
          <t>The company is profitable</t>
        </is>
      </c>
    </row>
    <row r="11">
      <c r="B11" s="5" t="inlineStr">
        <is>
          <t>Book equity</t>
        </is>
      </c>
      <c r="C11" s="6">
        <f>'Audited Base'!$C$32</f>
        <v>1318945</v>
      </c>
      <c r="F11" s="7" t="inlineStr">
        <is>
          <t>6,000 shares — ₹220 per share, not ₹31</t>
        </is>
      </c>
    </row>
    <row r="12">
      <c r="B12" s="5" t="inlineStr">
        <is>
          <t>Net debt</t>
        </is>
      </c>
      <c r="C12" s="6">
        <f>'Audited Base'!$C$37</f>
        <v>13881206</v>
      </c>
      <c r="F12" s="7" t="inlineStr">
        <is>
          <t>Unsecured borrowings less cash</t>
        </is>
      </c>
    </row>
    <row r="13">
      <c r="B13" s="5" t="inlineStr">
        <is>
          <t>Net debt ÷ EBITDA</t>
        </is>
      </c>
      <c r="C13" s="9">
        <f>'Audited Base'!$C$37/'Audited Base'!$C$25</f>
        <v>6.103721715577209</v>
      </c>
      <c r="F13" s="7" t="inlineStr">
        <is>
          <t>Highly leveraged for this size</t>
        </is>
      </c>
    </row>
    <row r="15">
      <c r="B15" s="3" t="inlineStr">
        <is>
          <t>VALUATION RANGE — EQUITY VALUE  (₹ lakh)</t>
        </is>
      </c>
      <c r="C15" s="3" t="n"/>
      <c r="D15" s="3" t="n"/>
      <c r="E15" s="3" t="n"/>
      <c r="F15" s="3" t="n"/>
    </row>
    <row r="16">
      <c r="B16" s="4" t="inlineStr">
        <is>
          <t>Method</t>
        </is>
      </c>
      <c r="C16" s="4" t="inlineStr">
        <is>
          <t>Low</t>
        </is>
      </c>
      <c r="D16" s="4" t="inlineStr">
        <is>
          <t>High</t>
        </is>
      </c>
      <c r="E16" s="4" t="inlineStr">
        <is>
          <t>Mid</t>
        </is>
      </c>
      <c r="F16" s="4" t="inlineStr">
        <is>
          <t>Basis</t>
        </is>
      </c>
    </row>
    <row r="17">
      <c r="B17" s="5" t="inlineStr">
        <is>
          <t>Net asset value</t>
        </is>
      </c>
      <c r="C17" s="10" t="n">
        <v>13.18945</v>
      </c>
      <c r="D17" s="10" t="n">
        <v>13.18945</v>
      </c>
      <c r="E17" s="11">
        <f>AVERAGE(C17:D17)</f>
        <v>13.18945</v>
      </c>
      <c r="F17" s="7" t="inlineStr">
        <is>
          <t>Floor. Land is leased.</t>
        </is>
      </c>
    </row>
    <row r="18">
      <c r="B18" s="5" t="inlineStr">
        <is>
          <t>Revenue multiple, 3.0x – 5.0x</t>
        </is>
      </c>
      <c r="C18" s="10" t="n">
        <v>43.91494</v>
      </c>
      <c r="D18" s="10" t="n">
        <v>165.73294</v>
      </c>
      <c r="E18" s="11">
        <f>AVERAGE(C18:D18)</f>
        <v>104.82394</v>
      </c>
      <c r="F18" s="7" t="inlineStr">
        <is>
          <t>Applied to audited FY26 revenue</t>
        </is>
      </c>
    </row>
    <row r="19">
      <c r="B19" s="5" t="inlineStr">
        <is>
          <t>EBITDA multiple, 10.0x – 15.0x</t>
        </is>
      </c>
      <c r="C19" s="10" t="n">
        <v>88.60993999999999</v>
      </c>
      <c r="D19" s="10" t="n">
        <v>202.32094</v>
      </c>
      <c r="E19" s="11">
        <f>AVERAGE(C19:D19)</f>
        <v>145.46544</v>
      </c>
      <c r="F19" s="7" t="inlineStr">
        <is>
          <t>Applied to adjusted FY26 EBITDA</t>
        </is>
      </c>
    </row>
    <row r="20">
      <c r="B20" s="5" t="inlineStr">
        <is>
          <t>DCF — Case A, organic</t>
        </is>
      </c>
      <c r="C20" s="10" t="n">
        <v>-4.805191819553096</v>
      </c>
      <c r="D20" s="10" t="n">
        <v>79.79707725209288</v>
      </c>
      <c r="E20" s="11">
        <f>AVERAGE(C20:D20)</f>
        <v>37.495942716269894</v>
      </c>
      <c r="F20" s="7" t="inlineStr">
        <is>
          <t>Pre-money: excludes the raise</t>
        </is>
      </c>
    </row>
    <row r="21">
      <c r="B21" s="5" t="inlineStr">
        <is>
          <t>DCF — Case B, mgmt conservative</t>
        </is>
      </c>
      <c r="C21" s="10" t="n">
        <v>63.23037248332314</v>
      </c>
      <c r="D21" s="10" t="n">
        <v>200.096640803215</v>
      </c>
      <c r="E21" s="11">
        <f>AVERAGE(C21:D21)</f>
        <v>131.66350664326907</v>
      </c>
      <c r="F21" s="7" t="inlineStr">
        <is>
          <t>Assumes the raise is received</t>
        </is>
      </c>
    </row>
    <row r="22">
      <c r="B22" s="5" t="inlineStr">
        <is>
          <t>DCF — Case C, mgmt moderate</t>
        </is>
      </c>
      <c r="C22" s="10" t="n">
        <v>127.0448723839584</v>
      </c>
      <c r="D22" s="10" t="n">
        <v>312.3823670974401</v>
      </c>
      <c r="E22" s="11">
        <f>AVERAGE(C22:D22)</f>
        <v>219.7136197406993</v>
      </c>
      <c r="F22" s="7" t="inlineStr">
        <is>
          <t>Assumes the raise plus a third preschool</t>
        </is>
      </c>
    </row>
    <row r="23">
      <c r="B23" s="12" t="inlineStr">
        <is>
          <t>CONCLUDED RANGE — PRE-MONEY EQUITY</t>
        </is>
      </c>
      <c r="C23" s="13" t="n">
        <v>45</v>
      </c>
      <c r="D23" s="13" t="n">
        <v>200</v>
      </c>
      <c r="E23" s="13">
        <f>AVERAGE(C23:D23)</f>
        <v>122.5</v>
      </c>
      <c r="F23" s="14" t="inlineStr">
        <is>
          <t>≈ ₹0.45 Cr to ₹2.00 Cr, midpoint ₹1.22 Cr</t>
        </is>
      </c>
    </row>
    <row r="24">
      <c r="B24" s="15" t="inlineStr">
        <is>
          <t>Client expectation (₹10 lakh per 1%)</t>
        </is>
      </c>
      <c r="C24" s="16" t="n">
        <v>1000</v>
      </c>
      <c r="D24" s="16" t="n">
        <v>1000</v>
      </c>
      <c r="E24" s="16" t="n">
        <v>1000</v>
      </c>
      <c r="F24" s="17">
        <f>E24/E23</f>
        <v>8.16326530612245</v>
      </c>
    </row>
    <row r="26">
      <c r="B26" s="3" t="inlineStr">
        <is>
          <t>WHAT THIS MEANS FOR THE RAISE</t>
        </is>
      </c>
      <c r="C26" s="3" t="n"/>
      <c r="D26" s="3" t="n"/>
      <c r="E26" s="3" t="n"/>
      <c r="F26" s="3" t="n"/>
    </row>
    <row r="27">
      <c r="B27" s="4" t="inlineStr">
        <is>
          <t>Pre-money valuation</t>
        </is>
      </c>
      <c r="C27" s="4" t="inlineStr">
        <is>
          <t>₹2 Cr buys</t>
        </is>
      </c>
      <c r="D27" s="4" t="inlineStr">
        <is>
          <t>Promoter retains</t>
        </is>
      </c>
      <c r="E27" s="4" t="inlineStr">
        <is>
          <t>Verdict</t>
        </is>
      </c>
    </row>
    <row r="28">
      <c r="B28" s="8" t="n">
        <v>12200000</v>
      </c>
      <c r="C28" s="18" t="n">
        <v>0.6211180124223602</v>
      </c>
      <c r="D28" s="19" t="n">
        <v>0.3788819875776398</v>
      </c>
      <c r="E28" s="7" t="inlineStr">
        <is>
          <t>Promoter loses control</t>
        </is>
      </c>
    </row>
    <row r="29">
      <c r="B29" s="8" t="n">
        <v>20000000</v>
      </c>
      <c r="C29" s="18" t="n">
        <v>0.5</v>
      </c>
      <c r="D29" s="19" t="n">
        <v>0.5</v>
      </c>
      <c r="E29" s="7" t="inlineStr">
        <is>
          <t>Marginal</t>
        </is>
      </c>
    </row>
    <row r="30">
      <c r="B30" s="8" t="n">
        <v>40000000</v>
      </c>
      <c r="C30" s="18" t="n">
        <v>0.3333333333333333</v>
      </c>
      <c r="D30" s="20" t="n">
        <v>0.6666666666666667</v>
      </c>
      <c r="E30" s="7" t="inlineStr">
        <is>
          <t>Workable</t>
        </is>
      </c>
    </row>
    <row r="31">
      <c r="B31" s="8" t="n">
        <v>100000000</v>
      </c>
      <c r="C31" s="18" t="n">
        <v>0.1666666666666667</v>
      </c>
      <c r="D31" s="20" t="n">
        <v>0.8333333333333334</v>
      </c>
      <c r="E31" s="7" t="inlineStr">
        <is>
          <t>Workable</t>
        </is>
      </c>
    </row>
    <row r="33" ht="24" customHeight="1">
      <c r="B33" s="21" t="inlineStr">
        <is>
          <t>At the midpoint of our range, ₹2 crore of equity would buy 62% of the school and the owner would lose control. This is the central finding: ₹2 crore cannot be raised as equity at any valuation we can defend. It points to debt, or to a smaller raise, or to equity in a separate for-profit vehicle for the commercial activities.</t>
        </is>
      </c>
    </row>
    <row r="35">
      <c r="B35" s="3" t="inlineStr">
        <is>
          <t>HOW THIS DIFFERS FROM THE MANAGEMENT REPORT</t>
        </is>
      </c>
      <c r="C35" s="3" t="n"/>
      <c r="D35" s="3" t="n"/>
      <c r="E35" s="3" t="n"/>
      <c r="F35" s="3" t="n"/>
    </row>
    <row r="36" ht="28" customHeight="1">
      <c r="B36" s="22" t="inlineStr">
        <is>
          <t>•  Tax is included. The management projections contain no tax line at any point.</t>
        </is>
      </c>
    </row>
    <row r="37" ht="28" customHeight="1">
      <c r="B37" s="22" t="inlineStr">
        <is>
          <t>•  The arithmetic error in the Financial-Summary expense total (₹67.48 L of lines against a stated ₹87.48 L) is corrected, and the ₹20 L one-time item is applied consistently across all three scenarios.</t>
        </is>
      </c>
    </row>
    <row r="38" ht="28" customHeight="1">
      <c r="B38" s="22" t="inlineStr">
        <is>
          <t>•  Net debt of ₹1.39 crore is deducted to get from enterprise value to equity value. The management report does not do this.</t>
        </is>
      </c>
    </row>
    <row r="39" ht="28" customHeight="1">
      <c r="B39" s="22" t="inlineStr">
        <is>
          <t>•  Case A values the business without the ₹2 crore, which is the correct pre-money basis. The management report values the company on post-money projections and then sells equity at that price.</t>
        </is>
      </c>
    </row>
    <row r="40" ht="28" customHeight="1">
      <c r="B40" s="22" t="inlineStr">
        <is>
          <t>•  Book equity is ₹13.19 lakh and ₹220 per share, not ₹19.05 lakh and ₹31 per share.</t>
        </is>
      </c>
    </row>
  </sheetData>
  <mergeCells count="6">
    <mergeCell ref="B39:F39"/>
    <mergeCell ref="B38:F38"/>
    <mergeCell ref="B33:F33"/>
    <mergeCell ref="B37:F37"/>
    <mergeCell ref="B36:F36"/>
    <mergeCell ref="B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18" customWidth="1" min="4" max="4"/>
    <col width="40" customWidth="1" min="5" max="5"/>
  </cols>
  <sheetData>
    <row r="2">
      <c r="B2" s="1" t="inlineStr">
        <is>
          <t>AUDITED BASE AND NORMALISATION</t>
        </is>
      </c>
    </row>
    <row r="3">
      <c r="B3" s="2" t="inlineStr">
        <is>
          <t>Excelerate Learning Foundation · FY 2025-26 · audited by Ulhas Borse &amp; Co, UDIN 26161661CUAYAX4200</t>
        </is>
      </c>
    </row>
    <row r="5">
      <c r="B5" s="3" t="inlineStr">
        <is>
          <t>STATEMENT OF PROFIT AND LOSS AS REPORTED</t>
        </is>
      </c>
      <c r="C5" s="3" t="n"/>
      <c r="D5" s="3" t="n"/>
      <c r="E5" s="3" t="n"/>
    </row>
    <row r="6">
      <c r="B6" s="4" t="inlineStr">
        <is>
          <t>Particulars</t>
        </is>
      </c>
      <c r="C6" s="4" t="inlineStr">
        <is>
          <t>₹</t>
        </is>
      </c>
      <c r="D6" s="4" t="inlineStr">
        <is>
          <t>₹ lakh</t>
        </is>
      </c>
      <c r="E6" s="4" t="inlineStr">
        <is>
          <t>Source</t>
        </is>
      </c>
    </row>
    <row r="7">
      <c r="B7" s="5" t="inlineStr">
        <is>
          <t>Revenue from operations</t>
        </is>
      </c>
      <c r="C7" s="8" t="n">
        <v>6090900</v>
      </c>
      <c r="D7" s="23">
        <f>C7/100000</f>
        <v>60.909</v>
      </c>
      <c r="E7" s="7" t="inlineStr">
        <is>
          <t>P&amp;L, Note 10</t>
        </is>
      </c>
    </row>
    <row r="8">
      <c r="B8" s="5" t="inlineStr">
        <is>
          <t>Other income</t>
        </is>
      </c>
      <c r="C8" s="8" t="n">
        <v>19540</v>
      </c>
      <c r="D8" s="23">
        <f>C8/100000</f>
        <v>0.1954</v>
      </c>
      <c r="E8" s="7" t="inlineStr">
        <is>
          <t>P&amp;L, Note 11</t>
        </is>
      </c>
    </row>
    <row r="9">
      <c r="B9" s="5" t="inlineStr">
        <is>
          <t>Employee benefit expenses</t>
        </is>
      </c>
      <c r="C9" s="8" t="n">
        <v>-1007680</v>
      </c>
      <c r="D9" s="23">
        <f>C9/100000</f>
        <v>-10.0768</v>
      </c>
      <c r="E9" s="7" t="inlineStr">
        <is>
          <t>P&amp;L, Note 12</t>
        </is>
      </c>
    </row>
    <row r="10">
      <c r="B10" s="5" t="inlineStr">
        <is>
          <t>Finance costs</t>
        </is>
      </c>
      <c r="C10" s="8" t="n">
        <v>-91700</v>
      </c>
      <c r="D10" s="23">
        <f>C10/100000</f>
        <v>-0.917</v>
      </c>
      <c r="E10" s="7" t="inlineStr">
        <is>
          <t>P&amp;L, Note 13</t>
        </is>
      </c>
    </row>
    <row r="11">
      <c r="B11" s="5" t="inlineStr">
        <is>
          <t>Depreciation and amortisation</t>
        </is>
      </c>
      <c r="C11" s="8" t="n">
        <v>-22650</v>
      </c>
      <c r="D11" s="23">
        <f>C11/100000</f>
        <v>-0.2265</v>
      </c>
      <c r="E11" s="7" t="inlineStr">
        <is>
          <t>P&amp;L, Note 14</t>
        </is>
      </c>
    </row>
    <row r="12">
      <c r="B12" s="5" t="inlineStr">
        <is>
          <t>Other expenses</t>
        </is>
      </c>
      <c r="C12" s="8" t="n">
        <v>-3214710</v>
      </c>
      <c r="D12" s="23">
        <f>C12/100000</f>
        <v>-32.1471</v>
      </c>
      <c r="E12" s="7" t="inlineStr">
        <is>
          <t>P&amp;L, Note 15</t>
        </is>
      </c>
    </row>
    <row r="13">
      <c r="B13" s="24" t="inlineStr">
        <is>
          <t>Profit before tax</t>
        </is>
      </c>
      <c r="C13" s="25">
        <f>SUM(C7:C12)</f>
        <v>1773700</v>
      </c>
      <c r="D13" s="26">
        <f>C13/100000</f>
        <v>17.737</v>
      </c>
      <c r="E13" s="27" t="inlineStr">
        <is>
          <t>Agrees to P&amp;L</t>
        </is>
      </c>
    </row>
    <row r="14">
      <c r="B14" s="5" t="inlineStr">
        <is>
          <t>Current and deferred tax</t>
        </is>
      </c>
      <c r="C14" s="8" t="n">
        <v>-514760</v>
      </c>
      <c r="D14" s="23">
        <f>C14/100000</f>
        <v>-5.1476</v>
      </c>
      <c r="E14" s="7" t="inlineStr">
        <is>
          <t>P&amp;L, Notes 16-17</t>
        </is>
      </c>
    </row>
    <row r="15">
      <c r="B15" s="24" t="inlineStr">
        <is>
          <t>Profit after tax</t>
        </is>
      </c>
      <c r="C15" s="25">
        <f>C13+C14</f>
        <v>1258940</v>
      </c>
      <c r="D15" s="26">
        <f>C15/100000</f>
        <v>12.5894</v>
      </c>
      <c r="E15" s="27" t="inlineStr">
        <is>
          <t>Effective rate 29.0%</t>
        </is>
      </c>
    </row>
    <row r="17">
      <c r="B17" s="3" t="inlineStr">
        <is>
          <t>NORMALISED EBITDA</t>
        </is>
      </c>
      <c r="C17" s="3" t="n"/>
      <c r="D17" s="3" t="n"/>
      <c r="E17" s="3" t="n"/>
    </row>
    <row r="18">
      <c r="B18" s="4" t="inlineStr">
        <is>
          <t>Build-up</t>
        </is>
      </c>
      <c r="C18" s="4" t="inlineStr">
        <is>
          <t>₹</t>
        </is>
      </c>
      <c r="D18" s="4" t="inlineStr">
        <is>
          <t>₹ lakh</t>
        </is>
      </c>
      <c r="E18" s="4" t="inlineStr">
        <is>
          <t>Basis for the adjustment</t>
        </is>
      </c>
    </row>
    <row r="19">
      <c r="B19" s="5" t="inlineStr">
        <is>
          <t>Profit before tax</t>
        </is>
      </c>
      <c r="C19" s="8" t="n">
        <v>1773700</v>
      </c>
      <c r="D19" s="23">
        <f>C19/100000</f>
        <v>17.737</v>
      </c>
      <c r="E19" s="7" t="inlineStr">
        <is>
          <t>As reported</t>
        </is>
      </c>
    </row>
    <row r="20">
      <c r="B20" s="5" t="inlineStr">
        <is>
          <t>Add back finance costs</t>
        </is>
      </c>
      <c r="C20" s="8" t="n">
        <v>91700</v>
      </c>
      <c r="D20" s="23">
        <f>C20/100000</f>
        <v>0.917</v>
      </c>
      <c r="E20" s="7" t="inlineStr">
        <is>
          <t>Below the EBITDA line</t>
        </is>
      </c>
    </row>
    <row r="21">
      <c r="B21" s="5" t="inlineStr">
        <is>
          <t>Add back depreciation and amortisation</t>
        </is>
      </c>
      <c r="C21" s="8" t="n">
        <v>22650</v>
      </c>
      <c r="D21" s="23">
        <f>C21/100000</f>
        <v>0.2265</v>
      </c>
      <c r="E21" s="7" t="inlineStr">
        <is>
          <t>Non-cash</t>
        </is>
      </c>
    </row>
    <row r="22">
      <c r="B22" s="5" t="inlineStr">
        <is>
          <t>Add back loan insurance, processing and legal fees</t>
        </is>
      </c>
      <c r="C22" s="8" t="n">
        <v>203070</v>
      </c>
      <c r="D22" s="23">
        <f>C22/100000</f>
        <v>2.0307</v>
      </c>
      <c r="E22" s="7" t="inlineStr">
        <is>
          <t>Financing costs sitting in other expenses — Note 15</t>
        </is>
      </c>
    </row>
    <row r="23">
      <c r="B23" s="5" t="inlineStr">
        <is>
          <t>Add back stamp duty on lease, 1/5 amortisation</t>
        </is>
      </c>
      <c r="C23" s="8" t="n">
        <v>202640</v>
      </c>
      <c r="D23" s="23">
        <f>C23/100000</f>
        <v>2.0264</v>
      </c>
      <c r="E23" s="7" t="inlineStr">
        <is>
          <t>Non-cash amortisation of a capitalised cost — Note 15</t>
        </is>
      </c>
    </row>
    <row r="24">
      <c r="B24" s="5" t="inlineStr">
        <is>
          <t>Less other income (bank interest)</t>
        </is>
      </c>
      <c r="C24" s="8" t="n">
        <v>-19540</v>
      </c>
      <c r="D24" s="23">
        <f>C24/100000</f>
        <v>-0.1954</v>
      </c>
      <c r="E24" s="7" t="inlineStr">
        <is>
          <t>Not operating</t>
        </is>
      </c>
    </row>
    <row r="25">
      <c r="B25" s="12" t="inlineStr">
        <is>
          <t>Adjusted EBITDA</t>
        </is>
      </c>
      <c r="C25" s="28">
        <f>SUM(C19:C24)</f>
        <v>2274220</v>
      </c>
      <c r="D25" s="29">
        <f>C25/100000</f>
        <v>22.7422</v>
      </c>
      <c r="E25" s="30" t="inlineStr">
        <is>
          <t>Margin on revenue</t>
        </is>
      </c>
    </row>
    <row r="26">
      <c r="B26" s="5" t="inlineStr">
        <is>
          <t>Adjusted EBITDA margin</t>
        </is>
      </c>
      <c r="C26" s="31">
        <f>C25/C7</f>
        <v>0.37337996026859743</v>
      </c>
      <c r="E26" s="7" t="inlineStr">
        <is>
          <t>Unusually high — see Open Questions, item 3</t>
        </is>
      </c>
    </row>
    <row r="28">
      <c r="B28" s="3" t="inlineStr">
        <is>
          <t>BALANCE SHEET AND NET DEBT</t>
        </is>
      </c>
      <c r="C28" s="3" t="n"/>
      <c r="D28" s="3" t="n"/>
      <c r="E28" s="3" t="n"/>
    </row>
    <row r="29">
      <c r="B29" s="4" t="inlineStr">
        <is>
          <t>Particulars</t>
        </is>
      </c>
      <c r="C29" s="4" t="inlineStr">
        <is>
          <t>₹</t>
        </is>
      </c>
      <c r="D29" s="4" t="inlineStr">
        <is>
          <t>₹ lakh</t>
        </is>
      </c>
      <c r="E29" s="4" t="inlineStr">
        <is>
          <t>Source</t>
        </is>
      </c>
    </row>
    <row r="30">
      <c r="B30" s="5" t="inlineStr">
        <is>
          <t>Total assets</t>
        </is>
      </c>
      <c r="C30" s="8" t="n">
        <v>18133990</v>
      </c>
      <c r="D30" s="23">
        <f>C30/100000</f>
        <v>181.3399</v>
      </c>
      <c r="E30" s="7" t="inlineStr">
        <is>
          <t>Balance sheet</t>
        </is>
      </c>
    </row>
    <row r="31">
      <c r="B31" s="5" t="inlineStr">
        <is>
          <t>Total liabilities (incl. ₹5,86,080 short-term provisions)</t>
        </is>
      </c>
      <c r="C31" s="8" t="n">
        <v>-16815045</v>
      </c>
      <c r="D31" s="23">
        <f>C31/100000</f>
        <v>-168.15045</v>
      </c>
      <c r="E31" s="7" t="inlineStr">
        <is>
          <t>Balance sheet, Notes 4-6 and Note 5</t>
        </is>
      </c>
    </row>
    <row r="32">
      <c r="B32" s="12" t="inlineStr">
        <is>
          <t>Net assets / book equity</t>
        </is>
      </c>
      <c r="C32" s="28">
        <f>SUM(C30:C31)</f>
        <v>1318945</v>
      </c>
      <c r="D32" s="29">
        <f>C32/100000</f>
        <v>13.18945</v>
      </c>
      <c r="E32" s="30" t="inlineStr">
        <is>
          <t>Agrees to shareholder funds ₹13,18,940</t>
        </is>
      </c>
    </row>
    <row r="33">
      <c r="B33" s="5" t="inlineStr">
        <is>
          <t>Shares outstanding</t>
        </is>
      </c>
      <c r="C33" s="32" t="n">
        <v>6000</v>
      </c>
      <c r="E33" s="7" t="inlineStr">
        <is>
          <t>Note 1: 6,000 shares of ₹10. NOT 60,000.</t>
        </is>
      </c>
    </row>
    <row r="34">
      <c r="B34" s="33" t="inlineStr">
        <is>
          <t>Book value per share</t>
        </is>
      </c>
      <c r="C34" s="34">
        <f>C32/C33</f>
        <v>219.82416666666666</v>
      </c>
      <c r="E34" s="7" t="inlineStr">
        <is>
          <t>Management report states ₹31 — overstated share count and omitted provisions</t>
        </is>
      </c>
    </row>
    <row r="35">
      <c r="B35" s="5" t="inlineStr">
        <is>
          <t>Short-term borrowings (unsecured)</t>
        </is>
      </c>
      <c r="C35" s="8" t="n">
        <v>16228190</v>
      </c>
      <c r="D35" s="23">
        <f>C35/100000</f>
        <v>162.2819</v>
      </c>
      <c r="E35" s="7" t="inlineStr">
        <is>
          <t>Note 6</t>
        </is>
      </c>
    </row>
    <row r="36">
      <c r="B36" s="5" t="inlineStr">
        <is>
          <t>Less cash and cash equivalents</t>
        </is>
      </c>
      <c r="C36" s="8" t="n">
        <v>-2346984</v>
      </c>
      <c r="D36" s="23">
        <f>C36/100000</f>
        <v>-23.46984</v>
      </c>
      <c r="E36" s="7" t="inlineStr">
        <is>
          <t>Note 9</t>
        </is>
      </c>
    </row>
    <row r="37">
      <c r="B37" s="12" t="inlineStr">
        <is>
          <t>NET DEBT</t>
        </is>
      </c>
      <c r="C37" s="28">
        <f>C35+C36</f>
        <v>13881206</v>
      </c>
      <c r="D37" s="29">
        <f>C37/100000</f>
        <v>138.81206</v>
      </c>
      <c r="E37" s="30" t="inlineStr">
        <is>
          <t>Deducted from enterprise value throughout</t>
        </is>
      </c>
    </row>
    <row r="39" ht="24" customHeight="1">
      <c r="B39" s="21" t="inlineStr">
        <is>
          <t>All figures converted from the thousands used in the audited statements. FY 2024-25 comparatives are nil throughout: the company was incorporated during FY 2025-26, so this is its first reporting period.</t>
        </is>
      </c>
    </row>
  </sheetData>
  <mergeCells count="1">
    <mergeCell ref="B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2">
      <c r="B2" s="1" t="inlineStr">
        <is>
          <t>ASSUMPTIONS</t>
        </is>
      </c>
    </row>
    <row r="3">
      <c r="B3" s="2" t="inlineStr">
        <is>
          <t>Blue cells are inputs. Every projection and valuation on later tabs is driven from here.</t>
        </is>
      </c>
    </row>
    <row r="5">
      <c r="B5" s="3" t="inlineStr">
        <is>
          <t>VALUATION PARAMETERS</t>
        </is>
      </c>
      <c r="C5" s="3" t="n"/>
      <c r="I5" s="3" t="n"/>
    </row>
    <row r="6">
      <c r="B6" s="5" t="inlineStr">
        <is>
          <t>Fee per student, FY26 actual (₹)</t>
        </is>
      </c>
      <c r="C6" s="35" t="n">
        <v>39296.12903225807</v>
      </c>
      <c r="I6" s="7" t="inlineStr">
        <is>
          <t>Audited revenue ₹60,90,900 ÷ 155 students</t>
        </is>
      </c>
    </row>
    <row r="7">
      <c r="B7" s="5" t="inlineStr">
        <is>
          <t>Fee inflation per annum</t>
        </is>
      </c>
      <c r="C7" s="36" t="n">
        <v>0.07000000000000001</v>
      </c>
      <c r="I7" s="7" t="inlineStr">
        <is>
          <t>Management assumes 3.6%; 7% reflects Indian private school fee inflation</t>
        </is>
      </c>
    </row>
    <row r="8">
      <c r="B8" s="5" t="inlineStr">
        <is>
          <t>Effective tax rate</t>
        </is>
      </c>
      <c r="C8" s="36" t="n">
        <v>0.26</v>
      </c>
      <c r="I8" s="7" t="inlineStr">
        <is>
          <t>25% plus cess. Management projections contain NO tax line at all.</t>
        </is>
      </c>
    </row>
    <row r="9">
      <c r="B9" s="5" t="inlineStr">
        <is>
          <t>WACC (discount rate)</t>
        </is>
      </c>
      <c r="C9" s="36" t="n">
        <v>0.19</v>
      </c>
      <c r="I9" s="7" t="inlineStr">
        <is>
          <t>See build-up on the DCF tab</t>
        </is>
      </c>
    </row>
    <row r="10">
      <c r="B10" s="5" t="inlineStr">
        <is>
          <t>Terminal growth rate</t>
        </is>
      </c>
      <c r="C10" s="36" t="n">
        <v>0.05</v>
      </c>
      <c r="I10" s="7" t="inlineStr">
        <is>
          <t>Nominal long-run growth</t>
        </is>
      </c>
    </row>
    <row r="11">
      <c r="B11" s="5" t="inlineStr">
        <is>
          <t>Maintenance capex, % of revenue</t>
        </is>
      </c>
      <c r="C11" s="36" t="n">
        <v>0.04</v>
      </c>
      <c r="I11" s="7" t="inlineStr">
        <is>
          <t>Excludes the growth capex funded by the raise</t>
        </is>
      </c>
    </row>
    <row r="12">
      <c r="B12" s="5" t="inlineStr">
        <is>
          <t>Rent, FY27 base (₹)</t>
        </is>
      </c>
      <c r="C12" s="35" t="n">
        <v>1200000</v>
      </c>
      <c r="I12" s="7" t="inlineStr">
        <is>
          <t>Audited FY26 rent was ₹8,04,340; management projects ₹20,40,000 — unexplained</t>
        </is>
      </c>
    </row>
    <row r="13">
      <c r="B13" s="5" t="inlineStr">
        <is>
          <t>Rent growth per annum</t>
        </is>
      </c>
      <c r="C13" s="36" t="n">
        <v>0.05</v>
      </c>
      <c r="I13" s="7" t="inlineStr">
        <is>
          <t>Assumed escalation</t>
        </is>
      </c>
    </row>
    <row r="15">
      <c r="B15" s="3" t="inlineStr">
        <is>
          <t>FEE PER STUDENT BY YEAR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37" t="inlineStr">
        <is>
          <t>Year</t>
        </is>
      </c>
      <c r="C16" s="4" t="inlineStr">
        <is>
          <t>2026-27</t>
        </is>
      </c>
      <c r="D16" s="4" t="inlineStr">
        <is>
          <t>2027-28</t>
        </is>
      </c>
      <c r="E16" s="4" t="inlineStr">
        <is>
          <t>2028-29</t>
        </is>
      </c>
      <c r="F16" s="4" t="inlineStr">
        <is>
          <t>2029-30</t>
        </is>
      </c>
      <c r="G16" s="4" t="inlineStr">
        <is>
          <t>2030-31</t>
        </is>
      </c>
      <c r="H16" s="4" t="inlineStr">
        <is>
          <t>2031-32</t>
        </is>
      </c>
      <c r="I16" s="37" t="inlineStr">
        <is>
          <t>Basis</t>
        </is>
      </c>
    </row>
    <row r="17">
      <c r="B17" s="5" t="inlineStr">
        <is>
          <t>Fee per student (₹)</t>
        </is>
      </c>
      <c r="C17" s="8">
        <f>$C$6*(1+$C$7)</f>
        <v>42046.858064516135</v>
      </c>
      <c r="D17" s="8">
        <f>C17*(1+$C$7)</f>
        <v>44990.13812903226</v>
      </c>
      <c r="E17" s="8">
        <f>D17*(1+$C$7)</f>
        <v>48139.447798064524</v>
      </c>
      <c r="F17" s="8">
        <f>E17*(1+$C$7)</f>
        <v>51509.209143929045</v>
      </c>
      <c r="G17" s="8">
        <f>F17*(1+$C$7)</f>
        <v>55114.85378400409</v>
      </c>
      <c r="H17" s="8">
        <f>G17*(1+$C$7)</f>
        <v>58972.89354888437</v>
      </c>
      <c r="I17" s="7" t="inlineStr">
        <is>
          <t>Compounded from the FY26 actual</t>
        </is>
      </c>
    </row>
    <row r="19">
      <c r="B19" s="3" t="inlineStr">
        <is>
          <t>STUDENT NUMBERS — THREE CASES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B20" s="37" t="inlineStr">
        <is>
          <t>Case</t>
        </is>
      </c>
      <c r="C20" s="4" t="inlineStr">
        <is>
          <t>2026-27</t>
        </is>
      </c>
      <c r="D20" s="4" t="inlineStr">
        <is>
          <t>2027-28</t>
        </is>
      </c>
      <c r="E20" s="4" t="inlineStr">
        <is>
          <t>2028-29</t>
        </is>
      </c>
      <c r="F20" s="4" t="inlineStr">
        <is>
          <t>2029-30</t>
        </is>
      </c>
      <c r="G20" s="4" t="inlineStr">
        <is>
          <t>2030-31</t>
        </is>
      </c>
      <c r="H20" s="4" t="inlineStr">
        <is>
          <t>2031-32</t>
        </is>
      </c>
      <c r="I20" s="37" t="inlineStr">
        <is>
          <t>Rationale</t>
        </is>
      </c>
    </row>
    <row r="21" ht="26" customHeight="1">
      <c r="B21" s="33" t="inlineStr">
        <is>
          <t>A — Organic (no new capital)</t>
        </is>
      </c>
      <c r="C21" s="38" t="n">
        <v>190</v>
      </c>
      <c r="D21" s="38" t="n">
        <v>215</v>
      </c>
      <c r="E21" s="38" t="n">
        <v>245</v>
      </c>
      <c r="F21" s="38" t="n">
        <v>280</v>
      </c>
      <c r="G21" s="38" t="n">
        <v>320</v>
      </c>
      <c r="H21" s="38" t="n">
        <v>360</v>
      </c>
      <c r="I21" s="39" t="inlineStr">
        <is>
          <t>What the school can reach on its own cash, without the ₹2 Cr. This is the pre-money case.</t>
        </is>
      </c>
    </row>
    <row r="22" ht="26" customHeight="1">
      <c r="B22" s="33" t="inlineStr">
        <is>
          <t>B — Management Conservative</t>
        </is>
      </c>
      <c r="C22" s="38" t="n">
        <v>200</v>
      </c>
      <c r="D22" s="38" t="n">
        <v>250</v>
      </c>
      <c r="E22" s="38" t="n">
        <v>310</v>
      </c>
      <c r="F22" s="38" t="n">
        <v>370</v>
      </c>
      <c r="G22" s="38" t="n">
        <v>460</v>
      </c>
      <c r="H22" s="38" t="n">
        <v>540</v>
      </c>
      <c r="I22" s="39" t="inlineStr">
        <is>
          <t>Management’s own conservative trajectory, which assumes the raise is received.</t>
        </is>
      </c>
    </row>
    <row r="23" ht="26" customHeight="1">
      <c r="B23" s="33" t="inlineStr">
        <is>
          <t>C — Management Moderate</t>
        </is>
      </c>
      <c r="C23" s="38" t="n">
        <v>200</v>
      </c>
      <c r="D23" s="38" t="n">
        <v>275</v>
      </c>
      <c r="E23" s="38" t="n">
        <v>375</v>
      </c>
      <c r="F23" s="38" t="n">
        <v>485</v>
      </c>
      <c r="G23" s="38" t="n">
        <v>605</v>
      </c>
      <c r="H23" s="38" t="n">
        <v>705</v>
      </c>
      <c r="I23" s="39" t="inlineStr">
        <is>
          <t>Management’s moderate trajectory, which also assumes a third preschool feeding in.</t>
        </is>
      </c>
    </row>
    <row r="25">
      <c r="B25" s="24" t="inlineStr">
        <is>
          <t>Historical students, Nagre Nagar</t>
        </is>
      </c>
      <c r="C25" s="40" t="inlineStr">
        <is>
          <t>2018-19: 60</t>
        </is>
      </c>
      <c r="D25" s="40" t="inlineStr">
        <is>
          <t>2019-20: 104</t>
        </is>
      </c>
      <c r="E25" s="40" t="inlineStr">
        <is>
          <t>2020-21: 45</t>
        </is>
      </c>
      <c r="F25" s="40" t="inlineStr">
        <is>
          <t>2021-22: 55</t>
        </is>
      </c>
      <c r="G25" s="40" t="inlineStr">
        <is>
          <t>2022-23: 90</t>
        </is>
      </c>
      <c r="H25" s="40" t="inlineStr">
        <is>
          <t>2023-24: 120</t>
        </is>
      </c>
      <c r="I25" s="27" t="inlineStr">
        <is>
          <t>2024-25: 145 · 2025-26: 155 · source Student-Growth sheet</t>
        </is>
      </c>
    </row>
    <row r="27">
      <c r="B27" s="3" t="inlineStr">
        <is>
          <t>COST STRUCTURE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B28" s="37" t="inlineStr">
        <is>
          <t>Line</t>
        </is>
      </c>
      <c r="C28" s="4" t="inlineStr">
        <is>
          <t>2026-27</t>
        </is>
      </c>
      <c r="D28" s="4" t="inlineStr">
        <is>
          <t>2027-28</t>
        </is>
      </c>
      <c r="E28" s="4" t="inlineStr">
        <is>
          <t>2028-29</t>
        </is>
      </c>
      <c r="F28" s="4" t="inlineStr">
        <is>
          <t>2029-30</t>
        </is>
      </c>
      <c r="G28" s="4" t="inlineStr">
        <is>
          <t>2030-31</t>
        </is>
      </c>
      <c r="H28" s="4" t="inlineStr">
        <is>
          <t>2031-32</t>
        </is>
      </c>
      <c r="I28" s="37" t="inlineStr">
        <is>
          <t>Basis</t>
        </is>
      </c>
    </row>
    <row r="29" ht="40" customHeight="1">
      <c r="B29" s="5" t="inlineStr">
        <is>
          <t>Staff cost, % of revenue</t>
        </is>
      </c>
      <c r="C29" s="41" t="n">
        <v>0.26</v>
      </c>
      <c r="D29" s="41" t="n">
        <v>0.28</v>
      </c>
      <c r="E29" s="41" t="n">
        <v>0.31</v>
      </c>
      <c r="F29" s="41" t="n">
        <v>0.34</v>
      </c>
      <c r="G29" s="41" t="n">
        <v>0.37</v>
      </c>
      <c r="H29" s="41" t="n">
        <v>0.39</v>
      </c>
      <c r="I29" s="39" t="inlineStr">
        <is>
          <t>Audited FY26 was 16.5% — a preschool with low-paid assistants. Ramps toward normal school levels as Grades 1-6 are added and qualified teachers are needed.</t>
        </is>
      </c>
    </row>
    <row r="30" ht="30" customHeight="1">
      <c r="B30" s="5" t="inlineStr">
        <is>
          <t>Other operating cost, % of revenue</t>
        </is>
      </c>
      <c r="C30" s="41" t="n">
        <v>0.32</v>
      </c>
      <c r="D30" s="41" t="n">
        <v>0.31</v>
      </c>
      <c r="E30" s="41" t="n">
        <v>0.3</v>
      </c>
      <c r="F30" s="41" t="n">
        <v>0.29</v>
      </c>
      <c r="G30" s="41" t="n">
        <v>0.28</v>
      </c>
      <c r="H30" s="41" t="n">
        <v>0.27</v>
      </c>
      <c r="I30" s="39" t="inlineStr">
        <is>
          <t>Audited FY26 was 32.9% excluding rent, loan and stamp-duty items. Declines modestly with scale.</t>
        </is>
      </c>
    </row>
    <row r="31">
      <c r="B31" s="5" t="inlineStr">
        <is>
          <t>Rent (₹)</t>
        </is>
      </c>
      <c r="C31" s="8">
        <f>$C$12</f>
        <v>1200000</v>
      </c>
      <c r="D31" s="8">
        <f>C31*(1+$C$13)</f>
        <v>1260000</v>
      </c>
      <c r="E31" s="8">
        <f>D31*(1+$C$13)</f>
        <v>1323000</v>
      </c>
      <c r="F31" s="8">
        <f>E31*(1+$C$13)</f>
        <v>1389150.0000000002</v>
      </c>
      <c r="G31" s="8">
        <f>F31*(1+$C$13)</f>
        <v>1458607.5000000002</v>
      </c>
      <c r="H31" s="8">
        <f>G31*(1+$C$13)</f>
        <v>1531537.8750000005</v>
      </c>
      <c r="I31" s="7" t="inlineStr">
        <is>
          <t>Reconciliation needed — see Open Questions, item 2</t>
        </is>
      </c>
    </row>
    <row r="32" ht="28" customHeight="1">
      <c r="B32" s="5" t="inlineStr">
        <is>
          <t>Depreciation and amortisation (₹)</t>
        </is>
      </c>
      <c r="C32" s="35" t="n">
        <v>700000</v>
      </c>
      <c r="D32" s="35" t="n">
        <v>710000</v>
      </c>
      <c r="E32" s="35" t="n">
        <v>710000</v>
      </c>
      <c r="F32" s="35" t="n">
        <v>710000</v>
      </c>
      <c r="G32" s="35" t="n">
        <v>510000</v>
      </c>
      <c r="H32" s="35" t="n">
        <v>510000</v>
      </c>
      <c r="I32" s="39" t="inlineStr">
        <is>
          <t>₹1.46 Cr building over 30 years once complete, plus stamp duty amortisation to FY30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PROJECTIONS — THREE CASES</t>
        </is>
      </c>
    </row>
    <row r="3">
      <c r="B3" s="2" t="inlineStr">
        <is>
          <t>Rebuilt from the audited FY26 base. Unlike the management model, these include tax.</t>
        </is>
      </c>
    </row>
    <row r="5">
      <c r="B5" s="3" t="inlineStr">
        <is>
          <t>CASE A — ORGANIC (NO NEW CAPITAL)</t>
        </is>
      </c>
      <c r="C5" s="3" t="n"/>
      <c r="D5" s="3" t="n"/>
      <c r="E5" s="3" t="n"/>
      <c r="F5" s="3" t="n"/>
      <c r="G5" s="3" t="n"/>
      <c r="H5" s="3" t="n"/>
    </row>
    <row r="6">
      <c r="B6" s="37" t="inlineStr">
        <is>
          <t>₹</t>
        </is>
      </c>
      <c r="C6" s="4" t="inlineStr">
        <is>
          <t>2026-27</t>
        </is>
      </c>
      <c r="D6" s="4" t="inlineStr">
        <is>
          <t>2027-28</t>
        </is>
      </c>
      <c r="E6" s="4" t="inlineStr">
        <is>
          <t>2028-29</t>
        </is>
      </c>
      <c r="F6" s="4" t="inlineStr">
        <is>
          <t>2029-30</t>
        </is>
      </c>
      <c r="G6" s="4" t="inlineStr">
        <is>
          <t>2030-31</t>
        </is>
      </c>
      <c r="H6" s="4" t="inlineStr">
        <is>
          <t>2031-32</t>
        </is>
      </c>
    </row>
    <row r="7">
      <c r="B7" s="5" t="inlineStr">
        <is>
          <t>Students</t>
        </is>
      </c>
      <c r="C7" s="42">
        <f>'Assumptions'!C21</f>
        <v>190</v>
      </c>
      <c r="D7" s="42">
        <f>'Assumptions'!D21</f>
        <v>215</v>
      </c>
      <c r="E7" s="42">
        <f>'Assumptions'!E21</f>
        <v>245</v>
      </c>
      <c r="F7" s="42">
        <f>'Assumptions'!F21</f>
        <v>280</v>
      </c>
      <c r="G7" s="42">
        <f>'Assumptions'!G21</f>
        <v>320</v>
      </c>
      <c r="H7" s="42">
        <f>'Assumptions'!H21</f>
        <v>360</v>
      </c>
    </row>
    <row r="8">
      <c r="B8" s="5" t="inlineStr">
        <is>
          <t>Fee per student (₹)</t>
        </is>
      </c>
      <c r="C8" s="6">
        <f>'Assumptions'!C17</f>
        <v>42046.858064516135</v>
      </c>
      <c r="D8" s="6">
        <f>'Assumptions'!D17</f>
        <v>44990.13812903226</v>
      </c>
      <c r="E8" s="6">
        <f>'Assumptions'!E17</f>
        <v>48139.447798064524</v>
      </c>
      <c r="F8" s="6">
        <f>'Assumptions'!F17</f>
        <v>51509.209143929045</v>
      </c>
      <c r="G8" s="6">
        <f>'Assumptions'!G17</f>
        <v>55114.85378400409</v>
      </c>
      <c r="H8" s="6">
        <f>'Assumptions'!H17</f>
        <v>58972.89354888437</v>
      </c>
    </row>
    <row r="9">
      <c r="B9" s="24" t="inlineStr">
        <is>
          <t>Revenue</t>
        </is>
      </c>
      <c r="C9" s="25">
        <f>C7*C8</f>
        <v>7988903.032258065</v>
      </c>
      <c r="D9" s="25">
        <f>D7*D8</f>
        <v>9672879.697741937</v>
      </c>
      <c r="E9" s="25">
        <f>E7*E8</f>
        <v>11794164.710525809</v>
      </c>
      <c r="F9" s="25">
        <f>F7*F8</f>
        <v>14422578.560300132</v>
      </c>
      <c r="G9" s="25">
        <f>G7*G8</f>
        <v>17636753.210881308</v>
      </c>
      <c r="H9" s="25">
        <f>H7*H8</f>
        <v>21230241.677598372</v>
      </c>
    </row>
    <row r="10">
      <c r="B10" s="5" t="inlineStr">
        <is>
          <t>Revenue growth</t>
        </is>
      </c>
      <c r="C10" s="43" t="inlineStr">
        <is>
          <t>—</t>
        </is>
      </c>
      <c r="D10" s="43">
        <f>D9/C9-1</f>
        <v>0.21078947368421064</v>
      </c>
      <c r="E10" s="43">
        <f>E9/D9-1</f>
        <v>0.2193023255813955</v>
      </c>
      <c r="F10" s="43">
        <f>F9/E9-1</f>
        <v>0.22285714285714286</v>
      </c>
      <c r="G10" s="43">
        <f>G9/F9-1</f>
        <v>0.2228571428571431</v>
      </c>
      <c r="H10" s="43">
        <f>H9/G9-1</f>
        <v>0.20374999999999988</v>
      </c>
    </row>
    <row r="11">
      <c r="B11" s="5" t="inlineStr">
        <is>
          <t>Staff cost</t>
        </is>
      </c>
      <c r="C11" s="8">
        <f>-C9*'Assumptions'!C29</f>
        <v>-2077114.7883870972</v>
      </c>
      <c r="D11" s="8">
        <f>-D9*'Assumptions'!D29</f>
        <v>-2708406.3153677424</v>
      </c>
      <c r="E11" s="8">
        <f>-E9*'Assumptions'!E29</f>
        <v>-3656191.060263001</v>
      </c>
      <c r="F11" s="8">
        <f>-F9*'Assumptions'!F29</f>
        <v>-4903676.710502045</v>
      </c>
      <c r="G11" s="8">
        <f>-G9*'Assumptions'!G29</f>
        <v>-6525598.688026084</v>
      </c>
      <c r="H11" s="8">
        <f>-H9*'Assumptions'!H29</f>
        <v>-8279794.254263366</v>
      </c>
    </row>
    <row r="12">
      <c r="B12" s="5" t="inlineStr">
        <is>
          <t>Rent</t>
        </is>
      </c>
      <c r="C12" s="6">
        <f>-'Assumptions'!C31</f>
        <v>-1200000</v>
      </c>
      <c r="D12" s="6">
        <f>-'Assumptions'!D31</f>
        <v>-1260000</v>
      </c>
      <c r="E12" s="6">
        <f>-'Assumptions'!E31</f>
        <v>-1323000</v>
      </c>
      <c r="F12" s="6">
        <f>-'Assumptions'!F31</f>
        <v>-1389150.0000000002</v>
      </c>
      <c r="G12" s="6">
        <f>-'Assumptions'!G31</f>
        <v>-1458607.5000000002</v>
      </c>
      <c r="H12" s="6">
        <f>-'Assumptions'!H31</f>
        <v>-1531537.8750000005</v>
      </c>
    </row>
    <row r="13">
      <c r="B13" s="5" t="inlineStr">
        <is>
          <t>Other operating costs</t>
        </is>
      </c>
      <c r="C13" s="8">
        <f>-C9*'Assumptions'!C30</f>
        <v>-2556448.970322581</v>
      </c>
      <c r="D13" s="8">
        <f>-D9*'Assumptions'!D30</f>
        <v>-2998592.7063</v>
      </c>
      <c r="E13" s="8">
        <f>-E9*'Assumptions'!E30</f>
        <v>-3538249.4131577425</v>
      </c>
      <c r="F13" s="8">
        <f>-F9*'Assumptions'!F30</f>
        <v>-4182547.782487038</v>
      </c>
      <c r="G13" s="8">
        <f>-G9*'Assumptions'!G30</f>
        <v>-4938290.899046767</v>
      </c>
      <c r="H13" s="8">
        <f>-H9*'Assumptions'!H30</f>
        <v>-5732165.252951561</v>
      </c>
    </row>
    <row r="14">
      <c r="B14" s="12" t="inlineStr">
        <is>
          <t>EBITDA</t>
        </is>
      </c>
      <c r="C14" s="28">
        <f>SUM(C9:C13)</f>
        <v>2155339.273548387</v>
      </c>
      <c r="D14" s="28">
        <f>SUM(D9:D13)</f>
        <v>2705880.6760741943</v>
      </c>
      <c r="E14" s="28">
        <f>SUM(E9:E13)</f>
        <v>3276724.237105066</v>
      </c>
      <c r="F14" s="28">
        <f>SUM(F9:F13)</f>
        <v>3947204.067311049</v>
      </c>
      <c r="G14" s="28">
        <f>SUM(G9:G13)</f>
        <v>4714256.1238084575</v>
      </c>
      <c r="H14" s="28">
        <f>SUM(H9:H13)</f>
        <v>5686744.295383446</v>
      </c>
    </row>
    <row r="15">
      <c r="B15" s="5" t="inlineStr">
        <is>
          <t>EBITDA margin</t>
        </is>
      </c>
      <c r="C15" s="43">
        <f>C14/C9</f>
        <v>0.2697916428382508</v>
      </c>
      <c r="D15" s="43">
        <f>D14/D9</f>
        <v>0.2797388947890939</v>
      </c>
      <c r="E15" s="43">
        <f>E14/E9</f>
        <v>0.27782588403066166</v>
      </c>
      <c r="F15" s="43">
        <f>F14/F9</f>
        <v>0.27368227191885086</v>
      </c>
      <c r="G15" s="43">
        <f>G14/G9</f>
        <v>0.2672972778742469</v>
      </c>
      <c r="H15" s="43">
        <f>H14/H9</f>
        <v>0.2678605539090004</v>
      </c>
    </row>
    <row r="16">
      <c r="B16" s="5" t="inlineStr">
        <is>
          <t>Depreciation and amortisation</t>
        </is>
      </c>
      <c r="C16" s="6">
        <f>-'Assumptions'!C32</f>
        <v>-700000</v>
      </c>
      <c r="D16" s="6">
        <f>-'Assumptions'!D32</f>
        <v>-710000</v>
      </c>
      <c r="E16" s="6">
        <f>-'Assumptions'!E32</f>
        <v>-710000</v>
      </c>
      <c r="F16" s="6">
        <f>-'Assumptions'!F32</f>
        <v>-710000</v>
      </c>
      <c r="G16" s="6">
        <f>-'Assumptions'!G32</f>
        <v>-510000</v>
      </c>
      <c r="H16" s="6">
        <f>-'Assumptions'!H32</f>
        <v>-510000</v>
      </c>
    </row>
    <row r="17">
      <c r="B17" s="33" t="inlineStr">
        <is>
          <t>EBIT</t>
        </is>
      </c>
      <c r="C17" s="34">
        <f>C14+C16</f>
        <v>1455339.273548387</v>
      </c>
      <c r="D17" s="34">
        <f>D14+D16</f>
        <v>1995880.6760741943</v>
      </c>
      <c r="E17" s="34">
        <f>E14+E16</f>
        <v>2566724.237105066</v>
      </c>
      <c r="F17" s="34">
        <f>F14+F16</f>
        <v>3237204.067311049</v>
      </c>
      <c r="G17" s="34">
        <f>G14+G16</f>
        <v>4204256.1238084575</v>
      </c>
      <c r="H17" s="34">
        <f>H14+H16</f>
        <v>5176744.295383446</v>
      </c>
    </row>
    <row r="18">
      <c r="B18" s="5" t="inlineStr">
        <is>
          <t>Tax on EBIT</t>
        </is>
      </c>
      <c r="C18" s="8">
        <f>-C17*'Assumptions'!$C$8</f>
        <v>-378388.21112258063</v>
      </c>
      <c r="D18" s="8">
        <f>-D17*'Assumptions'!$C$8</f>
        <v>-518928.97577929054</v>
      </c>
      <c r="E18" s="8">
        <f>-E17*'Assumptions'!$C$8</f>
        <v>-667348.3016473171</v>
      </c>
      <c r="F18" s="8">
        <f>-F17*'Assumptions'!$C$8</f>
        <v>-841673.0575008728</v>
      </c>
      <c r="G18" s="8">
        <f>-G17*'Assumptions'!$C$8</f>
        <v>-1093106.592190199</v>
      </c>
      <c r="H18" s="8">
        <f>-H17*'Assumptions'!$C$8</f>
        <v>-1345953.516799696</v>
      </c>
    </row>
    <row r="19">
      <c r="B19" s="33" t="inlineStr">
        <is>
          <t>NOPAT</t>
        </is>
      </c>
      <c r="C19" s="34">
        <f>C17+C18</f>
        <v>1076951.0624258064</v>
      </c>
      <c r="D19" s="34">
        <f>D17+D18</f>
        <v>1476951.7002949037</v>
      </c>
      <c r="E19" s="34">
        <f>E17+E18</f>
        <v>1899375.9354577488</v>
      </c>
      <c r="F19" s="34">
        <f>F17+F18</f>
        <v>2395531.009810176</v>
      </c>
      <c r="G19" s="34">
        <f>G17+G18</f>
        <v>3111149.5316182585</v>
      </c>
      <c r="H19" s="34">
        <f>H17+H18</f>
        <v>3830790.77858375</v>
      </c>
    </row>
    <row r="20">
      <c r="B20" s="5" t="inlineStr">
        <is>
          <t>Add back depreciation</t>
        </is>
      </c>
      <c r="C20" s="8">
        <f>-C16</f>
        <v>700000</v>
      </c>
      <c r="D20" s="8">
        <f>-D16</f>
        <v>710000</v>
      </c>
      <c r="E20" s="8">
        <f>-E16</f>
        <v>710000</v>
      </c>
      <c r="F20" s="8">
        <f>-F16</f>
        <v>710000</v>
      </c>
      <c r="G20" s="8">
        <f>-G16</f>
        <v>510000</v>
      </c>
      <c r="H20" s="8">
        <f>-H16</f>
        <v>510000</v>
      </c>
    </row>
    <row r="21">
      <c r="B21" s="5" t="inlineStr">
        <is>
          <t>Maintenance capex</t>
        </is>
      </c>
      <c r="C21" s="8">
        <f>-C9*'Assumptions'!$C$11</f>
        <v>-319556.1212903226</v>
      </c>
      <c r="D21" s="8">
        <f>-D9*'Assumptions'!$C$11</f>
        <v>-386915.1879096775</v>
      </c>
      <c r="E21" s="8">
        <f>-E9*'Assumptions'!$C$11</f>
        <v>-471766.58842103236</v>
      </c>
      <c r="F21" s="8">
        <f>-F9*'Assumptions'!$C$11</f>
        <v>-576903.1424120053</v>
      </c>
      <c r="G21" s="8">
        <f>-G9*'Assumptions'!$C$11</f>
        <v>-705470.1284352524</v>
      </c>
      <c r="H21" s="8">
        <f>-H9*'Assumptions'!$C$11</f>
        <v>-849209.6671039349</v>
      </c>
    </row>
    <row r="22">
      <c r="B22" s="12" t="inlineStr">
        <is>
          <t>FREE CASH FLOW</t>
        </is>
      </c>
      <c r="C22" s="28">
        <f>C19+C20+C21</f>
        <v>1457394.9411354838</v>
      </c>
      <c r="D22" s="28">
        <f>D19+D20+D21</f>
        <v>1800036.5123852259</v>
      </c>
      <c r="E22" s="28">
        <f>E19+E20+E21</f>
        <v>2137609.3470367165</v>
      </c>
      <c r="F22" s="28">
        <f>F19+F20+F21</f>
        <v>2528627.8673981708</v>
      </c>
      <c r="G22" s="28">
        <f>G19+G20+G21</f>
        <v>2915679.403183006</v>
      </c>
      <c r="H22" s="28">
        <f>H19+H20+H21</f>
        <v>3491581.111479815</v>
      </c>
    </row>
    <row r="24">
      <c r="B24" s="3" t="inlineStr">
        <is>
          <t>CASE B — MANAGEMENT CONSERVATIVE</t>
        </is>
      </c>
      <c r="C24" s="3" t="n"/>
      <c r="D24" s="3" t="n"/>
      <c r="E24" s="3" t="n"/>
      <c r="F24" s="3" t="n"/>
      <c r="G24" s="3" t="n"/>
      <c r="H24" s="3" t="n"/>
    </row>
    <row r="25">
      <c r="B25" s="37" t="inlineStr">
        <is>
          <t>₹</t>
        </is>
      </c>
      <c r="C25" s="4" t="inlineStr">
        <is>
          <t>2026-27</t>
        </is>
      </c>
      <c r="D25" s="4" t="inlineStr">
        <is>
          <t>2027-28</t>
        </is>
      </c>
      <c r="E25" s="4" t="inlineStr">
        <is>
          <t>2028-29</t>
        </is>
      </c>
      <c r="F25" s="4" t="inlineStr">
        <is>
          <t>2029-30</t>
        </is>
      </c>
      <c r="G25" s="4" t="inlineStr">
        <is>
          <t>2030-31</t>
        </is>
      </c>
      <c r="H25" s="4" t="inlineStr">
        <is>
          <t>2031-32</t>
        </is>
      </c>
    </row>
    <row r="26">
      <c r="B26" s="5" t="inlineStr">
        <is>
          <t>Students</t>
        </is>
      </c>
      <c r="C26" s="42">
        <f>'Assumptions'!C22</f>
        <v>200</v>
      </c>
      <c r="D26" s="42">
        <f>'Assumptions'!D22</f>
        <v>250</v>
      </c>
      <c r="E26" s="42">
        <f>'Assumptions'!E22</f>
        <v>310</v>
      </c>
      <c r="F26" s="42">
        <f>'Assumptions'!F22</f>
        <v>370</v>
      </c>
      <c r="G26" s="42">
        <f>'Assumptions'!G22</f>
        <v>460</v>
      </c>
      <c r="H26" s="42">
        <f>'Assumptions'!H22</f>
        <v>540</v>
      </c>
    </row>
    <row r="27">
      <c r="B27" s="5" t="inlineStr">
        <is>
          <t>Fee per student (₹)</t>
        </is>
      </c>
      <c r="C27" s="6">
        <f>'Assumptions'!C17</f>
        <v>42046.858064516135</v>
      </c>
      <c r="D27" s="6">
        <f>'Assumptions'!D17</f>
        <v>44990.13812903226</v>
      </c>
      <c r="E27" s="6">
        <f>'Assumptions'!E17</f>
        <v>48139.447798064524</v>
      </c>
      <c r="F27" s="6">
        <f>'Assumptions'!F17</f>
        <v>51509.209143929045</v>
      </c>
      <c r="G27" s="6">
        <f>'Assumptions'!G17</f>
        <v>55114.85378400409</v>
      </c>
      <c r="H27" s="6">
        <f>'Assumptions'!H17</f>
        <v>58972.89354888437</v>
      </c>
    </row>
    <row r="28">
      <c r="B28" s="24" t="inlineStr">
        <is>
          <t>Revenue</t>
        </is>
      </c>
      <c r="C28" s="25">
        <f>C26*C27</f>
        <v>8409371.612903226</v>
      </c>
      <c r="D28" s="25">
        <f>D26*D27</f>
        <v>11247534.532258065</v>
      </c>
      <c r="E28" s="25">
        <f>E26*E27</f>
        <v>14923228.817400003</v>
      </c>
      <c r="F28" s="25">
        <f>F26*F27</f>
        <v>19058407.383253746</v>
      </c>
      <c r="G28" s="25">
        <f>G26*G27</f>
        <v>25352832.74064188</v>
      </c>
      <c r="H28" s="25">
        <f>H26*H27</f>
        <v>31845362.516397562</v>
      </c>
    </row>
    <row r="29">
      <c r="B29" s="5" t="inlineStr">
        <is>
          <t>Revenue growth</t>
        </is>
      </c>
      <c r="C29" s="43" t="inlineStr">
        <is>
          <t>—</t>
        </is>
      </c>
      <c r="D29" s="43">
        <f>D28/C28-1</f>
        <v>0.33750000000000013</v>
      </c>
      <c r="E29" s="43">
        <f>E28/D28-1</f>
        <v>0.3268000000000002</v>
      </c>
      <c r="F29" s="43">
        <f>F28/E28-1</f>
        <v>0.2770967741935484</v>
      </c>
      <c r="G29" s="43">
        <f>G28/F28-1</f>
        <v>0.33027027027027067</v>
      </c>
      <c r="H29" s="43">
        <f>H28/G28-1</f>
        <v>0.2560869565217392</v>
      </c>
    </row>
    <row r="30">
      <c r="B30" s="5" t="inlineStr">
        <is>
          <t>Staff cost</t>
        </is>
      </c>
      <c r="C30" s="8">
        <f>-C28*'Assumptions'!C29</f>
        <v>-2186436.619354839</v>
      </c>
      <c r="D30" s="8">
        <f>-D28*'Assumptions'!D29</f>
        <v>-3149309.6690322584</v>
      </c>
      <c r="E30" s="8">
        <f>-E28*'Assumptions'!E29</f>
        <v>-4626200.933394001</v>
      </c>
      <c r="F30" s="8">
        <f>-F28*'Assumptions'!F29</f>
        <v>-6479858.510306274</v>
      </c>
      <c r="G30" s="8">
        <f>-G28*'Assumptions'!G29</f>
        <v>-9380548.114037495</v>
      </c>
      <c r="H30" s="8">
        <f>-H28*'Assumptions'!H29</f>
        <v>-12419691.38139505</v>
      </c>
    </row>
    <row r="31">
      <c r="B31" s="5" t="inlineStr">
        <is>
          <t>Rent</t>
        </is>
      </c>
      <c r="C31" s="6">
        <f>-'Assumptions'!C31</f>
        <v>-1200000</v>
      </c>
      <c r="D31" s="6">
        <f>-'Assumptions'!D31</f>
        <v>-1260000</v>
      </c>
      <c r="E31" s="6">
        <f>-'Assumptions'!E31</f>
        <v>-1323000</v>
      </c>
      <c r="F31" s="6">
        <f>-'Assumptions'!F31</f>
        <v>-1389150.0000000002</v>
      </c>
      <c r="G31" s="6">
        <f>-'Assumptions'!G31</f>
        <v>-1458607.5000000002</v>
      </c>
      <c r="H31" s="6">
        <f>-'Assumptions'!H31</f>
        <v>-1531537.8750000005</v>
      </c>
    </row>
    <row r="32">
      <c r="B32" s="5" t="inlineStr">
        <is>
          <t>Other operating costs</t>
        </is>
      </c>
      <c r="C32" s="8">
        <f>-C28*'Assumptions'!C30</f>
        <v>-2690998.9161290326</v>
      </c>
      <c r="D32" s="8">
        <f>-D28*'Assumptions'!D30</f>
        <v>-3486735.705</v>
      </c>
      <c r="E32" s="8">
        <f>-E28*'Assumptions'!E30</f>
        <v>-4476968.64522</v>
      </c>
      <c r="F32" s="8">
        <f>-F28*'Assumptions'!F30</f>
        <v>-5526938.141143586</v>
      </c>
      <c r="G32" s="8">
        <f>-G28*'Assumptions'!G30</f>
        <v>-7098793.167379728</v>
      </c>
      <c r="H32" s="8">
        <f>-H28*'Assumptions'!H30</f>
        <v>-8598247.879427342</v>
      </c>
    </row>
    <row r="33">
      <c r="B33" s="12" t="inlineStr">
        <is>
          <t>EBITDA</t>
        </is>
      </c>
      <c r="C33" s="28">
        <f>SUM(C28:C32)</f>
        <v>2331936.077419355</v>
      </c>
      <c r="D33" s="28">
        <f>SUM(D28:D32)</f>
        <v>3351489.1582258064</v>
      </c>
      <c r="E33" s="28">
        <f>SUM(E28:E32)</f>
        <v>4497059.238786001</v>
      </c>
      <c r="F33" s="28">
        <f>SUM(F28:F32)</f>
        <v>5662460.7318038875</v>
      </c>
      <c r="G33" s="28">
        <f>SUM(G28:G32)</f>
        <v>7414883.959224658</v>
      </c>
      <c r="H33" s="28">
        <f>SUM(H28:H32)</f>
        <v>9295885.38057517</v>
      </c>
    </row>
    <row r="34">
      <c r="B34" s="5" t="inlineStr">
        <is>
          <t>EBITDA margin</t>
        </is>
      </c>
      <c r="C34" s="43">
        <f>C33/C28</f>
        <v>0.27730206069633834</v>
      </c>
      <c r="D34" s="43">
        <f>D33/D28</f>
        <v>0.2979754495186207</v>
      </c>
      <c r="E34" s="43">
        <f>E33/E28</f>
        <v>0.3013462631855229</v>
      </c>
      <c r="F34" s="43">
        <f>F33/F28</f>
        <v>0.29711090847913046</v>
      </c>
      <c r="G34" s="43">
        <f>G33/G28</f>
        <v>0.2924676715646935</v>
      </c>
      <c r="H34" s="43">
        <f>H33/H28</f>
        <v>0.2919070359393336</v>
      </c>
    </row>
    <row r="35">
      <c r="B35" s="5" t="inlineStr">
        <is>
          <t>Depreciation and amortisation</t>
        </is>
      </c>
      <c r="C35" s="6">
        <f>-'Assumptions'!C32</f>
        <v>-700000</v>
      </c>
      <c r="D35" s="6">
        <f>-'Assumptions'!D32</f>
        <v>-710000</v>
      </c>
      <c r="E35" s="6">
        <f>-'Assumptions'!E32</f>
        <v>-710000</v>
      </c>
      <c r="F35" s="6">
        <f>-'Assumptions'!F32</f>
        <v>-710000</v>
      </c>
      <c r="G35" s="6">
        <f>-'Assumptions'!G32</f>
        <v>-510000</v>
      </c>
      <c r="H35" s="6">
        <f>-'Assumptions'!H32</f>
        <v>-510000</v>
      </c>
    </row>
    <row r="36">
      <c r="B36" s="33" t="inlineStr">
        <is>
          <t>EBIT</t>
        </is>
      </c>
      <c r="C36" s="34">
        <f>C33+C35</f>
        <v>1631936.077419355</v>
      </c>
      <c r="D36" s="34">
        <f>D33+D35</f>
        <v>2641489.1582258064</v>
      </c>
      <c r="E36" s="34">
        <f>E33+E35</f>
        <v>3787059.2387860008</v>
      </c>
      <c r="F36" s="34">
        <f>F33+F35</f>
        <v>4952460.7318038875</v>
      </c>
      <c r="G36" s="34">
        <f>G33+G35</f>
        <v>6904883.959224658</v>
      </c>
      <c r="H36" s="34">
        <f>H33+H35</f>
        <v>8785885.38057517</v>
      </c>
    </row>
    <row r="37">
      <c r="B37" s="5" t="inlineStr">
        <is>
          <t>Tax on EBIT</t>
        </is>
      </c>
      <c r="C37" s="8">
        <f>-C36*'Assumptions'!$C$8</f>
        <v>-424303.3801290323</v>
      </c>
      <c r="D37" s="8">
        <f>-D36*'Assumptions'!$C$8</f>
        <v>-686787.1811387097</v>
      </c>
      <c r="E37" s="8">
        <f>-E36*'Assumptions'!$C$8</f>
        <v>-984635.4020843602</v>
      </c>
      <c r="F37" s="8">
        <f>-F36*'Assumptions'!$C$8</f>
        <v>-1287639.7902690107</v>
      </c>
      <c r="G37" s="8">
        <f>-G36*'Assumptions'!$C$8</f>
        <v>-1795269.829398411</v>
      </c>
      <c r="H37" s="8">
        <f>-H36*'Assumptions'!$C$8</f>
        <v>-2284330.1989495447</v>
      </c>
    </row>
    <row r="38">
      <c r="B38" s="33" t="inlineStr">
        <is>
          <t>NOPAT</t>
        </is>
      </c>
      <c r="C38" s="34">
        <f>C36+C37</f>
        <v>1207632.6972903227</v>
      </c>
      <c r="D38" s="34">
        <f>D36+D37</f>
        <v>1954701.9770870968</v>
      </c>
      <c r="E38" s="34">
        <f>E36+E37</f>
        <v>2802423.8367016404</v>
      </c>
      <c r="F38" s="34">
        <f>F36+F37</f>
        <v>3664820.941534877</v>
      </c>
      <c r="G38" s="34">
        <f>G36+G37</f>
        <v>5109614.129826247</v>
      </c>
      <c r="H38" s="34">
        <f>H36+H37</f>
        <v>6501555.181625626</v>
      </c>
    </row>
    <row r="39">
      <c r="B39" s="5" t="inlineStr">
        <is>
          <t>Add back depreciation</t>
        </is>
      </c>
      <c r="C39" s="8">
        <f>-C35</f>
        <v>700000</v>
      </c>
      <c r="D39" s="8">
        <f>-D35</f>
        <v>710000</v>
      </c>
      <c r="E39" s="8">
        <f>-E35</f>
        <v>710000</v>
      </c>
      <c r="F39" s="8">
        <f>-F35</f>
        <v>710000</v>
      </c>
      <c r="G39" s="8">
        <f>-G35</f>
        <v>510000</v>
      </c>
      <c r="H39" s="8">
        <f>-H35</f>
        <v>510000</v>
      </c>
    </row>
    <row r="40">
      <c r="B40" s="5" t="inlineStr">
        <is>
          <t>Maintenance capex</t>
        </is>
      </c>
      <c r="C40" s="8">
        <f>-C28*'Assumptions'!$C$11</f>
        <v>-336374.8645161291</v>
      </c>
      <c r="D40" s="8">
        <f>-D28*'Assumptions'!$C$11</f>
        <v>-449901.38129032264</v>
      </c>
      <c r="E40" s="8">
        <f>-E28*'Assumptions'!$C$11</f>
        <v>-596929.1526960002</v>
      </c>
      <c r="F40" s="8">
        <f>-F28*'Assumptions'!$C$11</f>
        <v>-762336.2953301498</v>
      </c>
      <c r="G40" s="8">
        <f>-G28*'Assumptions'!$C$11</f>
        <v>-1014113.3096256752</v>
      </c>
      <c r="H40" s="8">
        <f>-H28*'Assumptions'!$C$11</f>
        <v>-1273814.5006559025</v>
      </c>
    </row>
    <row r="41">
      <c r="B41" s="12" t="inlineStr">
        <is>
          <t>FREE CASH FLOW</t>
        </is>
      </c>
      <c r="C41" s="28">
        <f>C38+C39+C40</f>
        <v>1571257.8327741937</v>
      </c>
      <c r="D41" s="28">
        <f>D38+D39+D40</f>
        <v>2214800.595796774</v>
      </c>
      <c r="E41" s="28">
        <f>E38+E39+E40</f>
        <v>2915494.6840056404</v>
      </c>
      <c r="F41" s="28">
        <f>F38+F39+F40</f>
        <v>3612484.646204727</v>
      </c>
      <c r="G41" s="28">
        <f>G38+G39+G40</f>
        <v>4605500.820200572</v>
      </c>
      <c r="H41" s="28">
        <f>H38+H39+H40</f>
        <v>5737740.6809697235</v>
      </c>
    </row>
    <row r="43">
      <c r="B43" s="3" t="inlineStr">
        <is>
          <t>CASE C — MANAGEMENT MODERATE</t>
        </is>
      </c>
      <c r="C43" s="3" t="n"/>
      <c r="D43" s="3" t="n"/>
      <c r="E43" s="3" t="n"/>
      <c r="F43" s="3" t="n"/>
      <c r="G43" s="3" t="n"/>
      <c r="H43" s="3" t="n"/>
    </row>
    <row r="44">
      <c r="B44" s="37" t="inlineStr">
        <is>
          <t>₹</t>
        </is>
      </c>
      <c r="C44" s="4" t="inlineStr">
        <is>
          <t>2026-27</t>
        </is>
      </c>
      <c r="D44" s="4" t="inlineStr">
        <is>
          <t>2027-28</t>
        </is>
      </c>
      <c r="E44" s="4" t="inlineStr">
        <is>
          <t>2028-29</t>
        </is>
      </c>
      <c r="F44" s="4" t="inlineStr">
        <is>
          <t>2029-30</t>
        </is>
      </c>
      <c r="G44" s="4" t="inlineStr">
        <is>
          <t>2030-31</t>
        </is>
      </c>
      <c r="H44" s="4" t="inlineStr">
        <is>
          <t>2031-32</t>
        </is>
      </c>
    </row>
    <row r="45">
      <c r="B45" s="5" t="inlineStr">
        <is>
          <t>Students</t>
        </is>
      </c>
      <c r="C45" s="42">
        <f>'Assumptions'!C23</f>
        <v>200</v>
      </c>
      <c r="D45" s="42">
        <f>'Assumptions'!D23</f>
        <v>275</v>
      </c>
      <c r="E45" s="42">
        <f>'Assumptions'!E23</f>
        <v>375</v>
      </c>
      <c r="F45" s="42">
        <f>'Assumptions'!F23</f>
        <v>485</v>
      </c>
      <c r="G45" s="42">
        <f>'Assumptions'!G23</f>
        <v>605</v>
      </c>
      <c r="H45" s="42">
        <f>'Assumptions'!H23</f>
        <v>705</v>
      </c>
    </row>
    <row r="46">
      <c r="B46" s="5" t="inlineStr">
        <is>
          <t>Fee per student (₹)</t>
        </is>
      </c>
      <c r="C46" s="6">
        <f>'Assumptions'!C17</f>
        <v>42046.858064516135</v>
      </c>
      <c r="D46" s="6">
        <f>'Assumptions'!D17</f>
        <v>44990.13812903226</v>
      </c>
      <c r="E46" s="6">
        <f>'Assumptions'!E17</f>
        <v>48139.447798064524</v>
      </c>
      <c r="F46" s="6">
        <f>'Assumptions'!F17</f>
        <v>51509.209143929045</v>
      </c>
      <c r="G46" s="6">
        <f>'Assumptions'!G17</f>
        <v>55114.85378400409</v>
      </c>
      <c r="H46" s="6">
        <f>'Assumptions'!H17</f>
        <v>58972.89354888437</v>
      </c>
    </row>
    <row r="47">
      <c r="B47" s="24" t="inlineStr">
        <is>
          <t>Revenue</t>
        </is>
      </c>
      <c r="C47" s="25">
        <f>C45*C46</f>
        <v>8409371.612903226</v>
      </c>
      <c r="D47" s="25">
        <f>D45*D46</f>
        <v>12372287.985483872</v>
      </c>
      <c r="E47" s="25">
        <f>E45*E46</f>
        <v>18052292.924274195</v>
      </c>
      <c r="F47" s="25">
        <f>F45*F46</f>
        <v>24981966.434805587</v>
      </c>
      <c r="G47" s="25">
        <f>G45*G46</f>
        <v>33344486.539322473</v>
      </c>
      <c r="H47" s="25">
        <f>H45*H46</f>
        <v>41575889.951963484</v>
      </c>
    </row>
    <row r="48">
      <c r="B48" s="5" t="inlineStr">
        <is>
          <t>Revenue growth</t>
        </is>
      </c>
      <c r="C48" s="43" t="inlineStr">
        <is>
          <t>—</t>
        </is>
      </c>
      <c r="D48" s="43">
        <f>D47/C47-1</f>
        <v>0.47124999999999995</v>
      </c>
      <c r="E48" s="43">
        <f>E47/D47-1</f>
        <v>0.4590909090909092</v>
      </c>
      <c r="F48" s="43">
        <f>F47/E47-1</f>
        <v>0.3838666666666668</v>
      </c>
      <c r="G48" s="43">
        <f>G47/F47-1</f>
        <v>0.3347422680412373</v>
      </c>
      <c r="H48" s="43">
        <f>H47/G47-1</f>
        <v>0.24685950413223146</v>
      </c>
    </row>
    <row r="49">
      <c r="B49" s="5" t="inlineStr">
        <is>
          <t>Staff cost</t>
        </is>
      </c>
      <c r="C49" s="8">
        <f>-C47*'Assumptions'!C29</f>
        <v>-2186436.619354839</v>
      </c>
      <c r="D49" s="8">
        <f>-D47*'Assumptions'!D29</f>
        <v>-3464240.6359354844</v>
      </c>
      <c r="E49" s="8">
        <f>-E47*'Assumptions'!E29</f>
        <v>-5596210.806525</v>
      </c>
      <c r="F49" s="8">
        <f>-F47*'Assumptions'!F29</f>
        <v>-8493868.5878339</v>
      </c>
      <c r="G49" s="8">
        <f>-G47*'Assumptions'!G29</f>
        <v>-12337460.019549316</v>
      </c>
      <c r="H49" s="8">
        <f>-H47*'Assumptions'!H29</f>
        <v>-16214597.081265759</v>
      </c>
    </row>
    <row r="50">
      <c r="B50" s="5" t="inlineStr">
        <is>
          <t>Rent</t>
        </is>
      </c>
      <c r="C50" s="6">
        <f>-'Assumptions'!C31</f>
        <v>-1200000</v>
      </c>
      <c r="D50" s="6">
        <f>-'Assumptions'!D31</f>
        <v>-1260000</v>
      </c>
      <c r="E50" s="6">
        <f>-'Assumptions'!E31</f>
        <v>-1323000</v>
      </c>
      <c r="F50" s="6">
        <f>-'Assumptions'!F31</f>
        <v>-1389150.0000000002</v>
      </c>
      <c r="G50" s="6">
        <f>-'Assumptions'!G31</f>
        <v>-1458607.5000000002</v>
      </c>
      <c r="H50" s="6">
        <f>-'Assumptions'!H31</f>
        <v>-1531537.8750000005</v>
      </c>
    </row>
    <row r="51">
      <c r="B51" s="5" t="inlineStr">
        <is>
          <t>Other operating costs</t>
        </is>
      </c>
      <c r="C51" s="8">
        <f>-C47*'Assumptions'!C30</f>
        <v>-2690998.9161290326</v>
      </c>
      <c r="D51" s="8">
        <f>-D47*'Assumptions'!D30</f>
        <v>-3835409.2755000005</v>
      </c>
      <c r="E51" s="8">
        <f>-E47*'Assumptions'!E30</f>
        <v>-5415687.877282258</v>
      </c>
      <c r="F51" s="8">
        <f>-F47*'Assumptions'!F30</f>
        <v>-7244770.26609362</v>
      </c>
      <c r="G51" s="8">
        <f>-G47*'Assumptions'!G30</f>
        <v>-9336456.231010294</v>
      </c>
      <c r="H51" s="8">
        <f>-H47*'Assumptions'!H30</f>
        <v>-11225490.287030142</v>
      </c>
    </row>
    <row r="52">
      <c r="B52" s="12" t="inlineStr">
        <is>
          <t>EBITDA</t>
        </is>
      </c>
      <c r="C52" s="28">
        <f>SUM(C47:C51)</f>
        <v>2331936.077419355</v>
      </c>
      <c r="D52" s="28">
        <f>SUM(D47:D51)</f>
        <v>3812638.074048388</v>
      </c>
      <c r="E52" s="28">
        <f>SUM(E47:E51)</f>
        <v>5717394.240466937</v>
      </c>
      <c r="F52" s="28">
        <f>SUM(F47:F51)</f>
        <v>7854177.580878067</v>
      </c>
      <c r="G52" s="28">
        <f>SUM(G47:G51)</f>
        <v>10211962.788762862</v>
      </c>
      <c r="H52" s="28">
        <f>SUM(H47:H51)</f>
        <v>12604264.708667584</v>
      </c>
    </row>
    <row r="53">
      <c r="B53" s="5" t="inlineStr">
        <is>
          <t>EBITDA margin</t>
        </is>
      </c>
      <c r="C53" s="43">
        <f>C52/C47</f>
        <v>0.27730206069633834</v>
      </c>
      <c r="D53" s="43">
        <f>D52/D47</f>
        <v>0.30815949956238253</v>
      </c>
      <c r="E53" s="43">
        <f>E52/E47</f>
        <v>0.31671291090003234</v>
      </c>
      <c r="F53" s="43">
        <f>F52/F47</f>
        <v>0.3143938889428417</v>
      </c>
      <c r="G53" s="43">
        <f>G52/G47</f>
        <v>0.3062564114376181</v>
      </c>
      <c r="H53" s="43">
        <f>H52/H47</f>
        <v>0.30316283603863853</v>
      </c>
    </row>
    <row r="54">
      <c r="B54" s="5" t="inlineStr">
        <is>
          <t>Depreciation and amortisation</t>
        </is>
      </c>
      <c r="C54" s="6">
        <f>-'Assumptions'!C32</f>
        <v>-700000</v>
      </c>
      <c r="D54" s="6">
        <f>-'Assumptions'!D32</f>
        <v>-710000</v>
      </c>
      <c r="E54" s="6">
        <f>-'Assumptions'!E32</f>
        <v>-710000</v>
      </c>
      <c r="F54" s="6">
        <f>-'Assumptions'!F32</f>
        <v>-710000</v>
      </c>
      <c r="G54" s="6">
        <f>-'Assumptions'!G32</f>
        <v>-510000</v>
      </c>
      <c r="H54" s="6">
        <f>-'Assumptions'!H32</f>
        <v>-510000</v>
      </c>
    </row>
    <row r="55">
      <c r="B55" s="33" t="inlineStr">
        <is>
          <t>EBIT</t>
        </is>
      </c>
      <c r="C55" s="34">
        <f>C52+C54</f>
        <v>1631936.077419355</v>
      </c>
      <c r="D55" s="34">
        <f>D52+D54</f>
        <v>3102638.074048388</v>
      </c>
      <c r="E55" s="34">
        <f>E52+E54</f>
        <v>5007394.240466937</v>
      </c>
      <c r="F55" s="34">
        <f>F52+F54</f>
        <v>7144177.580878067</v>
      </c>
      <c r="G55" s="34">
        <f>G52+G54</f>
        <v>9701962.788762862</v>
      </c>
      <c r="H55" s="34">
        <f>H52+H54</f>
        <v>12094264.708667584</v>
      </c>
    </row>
    <row r="56">
      <c r="B56" s="5" t="inlineStr">
        <is>
          <t>Tax on EBIT</t>
        </is>
      </c>
      <c r="C56" s="8">
        <f>-C55*'Assumptions'!$C$8</f>
        <v>-424303.3801290323</v>
      </c>
      <c r="D56" s="8">
        <f>-D55*'Assumptions'!$C$8</f>
        <v>-806685.8992525808</v>
      </c>
      <c r="E56" s="8">
        <f>-E55*'Assumptions'!$C$8</f>
        <v>-1301922.5025214038</v>
      </c>
      <c r="F56" s="8">
        <f>-F55*'Assumptions'!$C$8</f>
        <v>-1857486.1710282974</v>
      </c>
      <c r="G56" s="8">
        <f>-G55*'Assumptions'!$C$8</f>
        <v>-2522510.325078344</v>
      </c>
      <c r="H56" s="8">
        <f>-H55*'Assumptions'!$C$8</f>
        <v>-3144508.8242535717</v>
      </c>
    </row>
    <row r="57">
      <c r="B57" s="33" t="inlineStr">
        <is>
          <t>NOPAT</t>
        </is>
      </c>
      <c r="C57" s="34">
        <f>C55+C56</f>
        <v>1207632.6972903227</v>
      </c>
      <c r="D57" s="34">
        <f>D55+D56</f>
        <v>2295952.174795807</v>
      </c>
      <c r="E57" s="34">
        <f>E55+E56</f>
        <v>3705471.7379455334</v>
      </c>
      <c r="F57" s="34">
        <f>F55+F56</f>
        <v>5286691.409849769</v>
      </c>
      <c r="G57" s="34">
        <f>G55+G56</f>
        <v>7179452.463684518</v>
      </c>
      <c r="H57" s="34">
        <f>H55+H56</f>
        <v>8949755.884414012</v>
      </c>
    </row>
    <row r="58">
      <c r="B58" s="5" t="inlineStr">
        <is>
          <t>Add back depreciation</t>
        </is>
      </c>
      <c r="C58" s="8">
        <f>-C54</f>
        <v>700000</v>
      </c>
      <c r="D58" s="8">
        <f>-D54</f>
        <v>710000</v>
      </c>
      <c r="E58" s="8">
        <f>-E54</f>
        <v>710000</v>
      </c>
      <c r="F58" s="8">
        <f>-F54</f>
        <v>710000</v>
      </c>
      <c r="G58" s="8">
        <f>-G54</f>
        <v>510000</v>
      </c>
      <c r="H58" s="8">
        <f>-H54</f>
        <v>510000</v>
      </c>
    </row>
    <row r="59">
      <c r="B59" s="5" t="inlineStr">
        <is>
          <t>Maintenance capex</t>
        </is>
      </c>
      <c r="C59" s="8">
        <f>-C47*'Assumptions'!$C$11</f>
        <v>-336374.8645161291</v>
      </c>
      <c r="D59" s="8">
        <f>-D47*'Assumptions'!$C$11</f>
        <v>-494891.51941935485</v>
      </c>
      <c r="E59" s="8">
        <f>-E47*'Assumptions'!$C$11</f>
        <v>-722091.7169709678</v>
      </c>
      <c r="F59" s="8">
        <f>-F47*'Assumptions'!$C$11</f>
        <v>-999278.6573922235</v>
      </c>
      <c r="G59" s="8">
        <f>-G47*'Assumptions'!$C$11</f>
        <v>-1333779.461572899</v>
      </c>
      <c r="H59" s="8">
        <f>-H47*'Assumptions'!$C$11</f>
        <v>-1663035.5980785394</v>
      </c>
    </row>
    <row r="60">
      <c r="B60" s="12" t="inlineStr">
        <is>
          <t>FREE CASH FLOW</t>
        </is>
      </c>
      <c r="C60" s="28">
        <f>C57+C58+C59</f>
        <v>1571257.8327741937</v>
      </c>
      <c r="D60" s="28">
        <f>D57+D58+D59</f>
        <v>2511060.655376452</v>
      </c>
      <c r="E60" s="28">
        <f>E57+E58+E59</f>
        <v>3693380.0209745653</v>
      </c>
      <c r="F60" s="28">
        <f>F57+F58+F59</f>
        <v>4997412.752457546</v>
      </c>
      <c r="G60" s="28">
        <f>G57+G58+G59</f>
        <v>6355673.002111619</v>
      </c>
      <c r="H60" s="28">
        <f>H57+H58+H59</f>
        <v>7796720.286335472</v>
      </c>
    </row>
    <row r="62" ht="24" customHeight="1">
      <c r="B62" s="21" t="inlineStr">
        <is>
          <t>Working capital movement is assumed nil: schools collect fees in advance, so working capital is typically a source of cash rather than a use. Treating it as nil is conservative.</t>
        </is>
      </c>
    </row>
    <row r="63" ht="24" customHeight="1">
      <c r="B63" s="21" t="inlineStr">
        <is>
          <t>Case A excludes the ₹2 crore raise and the growth it funds. It is therefore the correct basis for a PRE-MONEY valuation: an investor cannot be asked to pay today for growth that their own money will create. The management model values the company on post-money projections and then sells equity at that value — see Open Questions, item 1.</t>
        </is>
      </c>
    </row>
  </sheetData>
  <mergeCells count="2">
    <mergeCell ref="B62:H62"/>
    <mergeCell ref="B63:H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2">
      <c r="B2" s="1" t="inlineStr">
        <is>
          <t>DISCOUNTED CASH FLOW</t>
        </is>
      </c>
    </row>
    <row r="3">
      <c r="B3" s="2" t="inlineStr">
        <is>
          <t>Enterprise value less net debt gives equity value.</t>
        </is>
      </c>
    </row>
    <row r="5">
      <c r="B5" s="3" t="inlineStr">
        <is>
          <t>DISCOUNT RATE BUILD-UP</t>
        </is>
      </c>
      <c r="C5" s="3" t="n"/>
      <c r="I5" s="3" t="n"/>
    </row>
    <row r="6" ht="24" customHeight="1">
      <c r="B6" s="5" t="inlineStr">
        <is>
          <t>Risk-free rate (10-year G-sec)</t>
        </is>
      </c>
      <c r="C6" s="36" t="n">
        <v>0.0675</v>
      </c>
      <c r="I6" s="39" t="inlineStr">
        <is>
          <t>Indicative</t>
        </is>
      </c>
    </row>
    <row r="7" ht="24" customHeight="1">
      <c r="B7" s="5" t="inlineStr">
        <is>
          <t>Equity risk premium, India</t>
        </is>
      </c>
      <c r="C7" s="36" t="n">
        <v>0.075</v>
      </c>
      <c r="I7" s="39" t="inlineStr">
        <is>
          <t>Market</t>
        </is>
      </c>
    </row>
    <row r="8" ht="24" customHeight="1">
      <c r="B8" s="5" t="inlineStr">
        <is>
          <t>Beta, education sector</t>
        </is>
      </c>
      <c r="C8" s="44" t="n">
        <v>0.9</v>
      </c>
      <c r="I8" s="39" t="inlineStr">
        <is>
          <t>Unlevered, sector</t>
        </is>
      </c>
    </row>
    <row r="9" ht="24" customHeight="1">
      <c r="B9" s="5" t="inlineStr">
        <is>
          <t>Size and illiquidity premium</t>
        </is>
      </c>
      <c r="C9" s="36" t="n">
        <v>0.08</v>
      </c>
      <c r="I9" s="39" t="inlineStr">
        <is>
          <t>Unlisted, single site, no market for the shares</t>
        </is>
      </c>
    </row>
    <row r="10" ht="24" customHeight="1">
      <c r="B10" s="5" t="inlineStr">
        <is>
          <t>Company-specific risk premium</t>
        </is>
      </c>
      <c r="C10" s="36" t="n">
        <v>0.04</v>
      </c>
      <c r="I10" s="39" t="inlineStr">
        <is>
          <t>One campus, leased land, Board permission not yet obtained, key-person dependence</t>
        </is>
      </c>
    </row>
    <row r="11" ht="24" customHeight="1">
      <c r="B11" s="33" t="inlineStr">
        <is>
          <t>Cost of equity</t>
        </is>
      </c>
      <c r="C11" s="36" t="n">
        <v>0.235</v>
      </c>
      <c r="I11" s="39" t="inlineStr">
        <is>
          <t>Risk-free + beta × ERP + premiums</t>
        </is>
      </c>
    </row>
    <row r="12" ht="24" customHeight="1">
      <c r="B12" s="5" t="inlineStr">
        <is>
          <t>Pre-tax cost of debt</t>
        </is>
      </c>
      <c r="C12" s="36" t="n">
        <v>0.1</v>
      </c>
      <c r="I12" s="39" t="inlineStr">
        <is>
          <t>Rate on existing loans per Raw-Data sheet</t>
        </is>
      </c>
    </row>
    <row r="13" ht="24" customHeight="1">
      <c r="B13" s="5" t="inlineStr">
        <is>
          <t>After-tax cost of debt</t>
        </is>
      </c>
      <c r="C13" s="36" t="n">
        <v>0.074</v>
      </c>
      <c r="I13" s="39" t="inlineStr">
        <is>
          <t>× (1 − tax rate)</t>
        </is>
      </c>
    </row>
    <row r="14" ht="24" customHeight="1">
      <c r="B14" s="5" t="inlineStr">
        <is>
          <t>Target equity weighting</t>
        </is>
      </c>
      <c r="C14" s="36" t="n">
        <v>0.7</v>
      </c>
      <c r="I14" s="39" t="inlineStr">
        <is>
          <t>Post-transaction</t>
        </is>
      </c>
    </row>
    <row r="15" ht="24" customHeight="1">
      <c r="B15" s="14" t="inlineStr">
        <is>
          <t>WACC — rounded and used throughout</t>
        </is>
      </c>
      <c r="C15" s="45" t="n">
        <v>0.19</v>
      </c>
      <c r="I15" s="46" t="inlineStr">
        <is>
          <t>Entered on the Assumptions tab</t>
        </is>
      </c>
    </row>
    <row r="17">
      <c r="B17" s="3" t="inlineStr">
        <is>
          <t>CASE A — ORGANIC (NO NEW CAPITAL)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B18" s="37" t="inlineStr">
        <is>
          <t>₹</t>
        </is>
      </c>
      <c r="C18" s="4" t="inlineStr">
        <is>
          <t>2026-27</t>
        </is>
      </c>
      <c r="D18" s="4" t="inlineStr">
        <is>
          <t>2027-28</t>
        </is>
      </c>
      <c r="E18" s="4" t="inlineStr">
        <is>
          <t>2028-29</t>
        </is>
      </c>
      <c r="F18" s="4" t="inlineStr">
        <is>
          <t>2029-30</t>
        </is>
      </c>
      <c r="G18" s="4" t="inlineStr">
        <is>
          <t>2030-31</t>
        </is>
      </c>
      <c r="H18" s="4" t="inlineStr">
        <is>
          <t>2031-32</t>
        </is>
      </c>
      <c r="I18" s="4" t="inlineStr">
        <is>
          <t>Total</t>
        </is>
      </c>
    </row>
    <row r="19">
      <c r="B19" s="5" t="inlineStr">
        <is>
          <t>Free cash flow</t>
        </is>
      </c>
      <c r="C19" s="6">
        <f>Projections!C22</f>
        <v>1457394.9411354838</v>
      </c>
      <c r="D19" s="6">
        <f>Projections!D22</f>
        <v>1800036.5123852259</v>
      </c>
      <c r="E19" s="6">
        <f>Projections!E22</f>
        <v>2137609.3470367165</v>
      </c>
      <c r="F19" s="6">
        <f>Projections!F22</f>
        <v>2528627.8673981708</v>
      </c>
      <c r="G19" s="6">
        <f>Projections!G22</f>
        <v>2915679.403183006</v>
      </c>
      <c r="H19" s="6">
        <f>Projections!H22</f>
        <v>3491581.111479815</v>
      </c>
    </row>
    <row r="20">
      <c r="B20" s="5" t="inlineStr">
        <is>
          <t>Discount factor</t>
        </is>
      </c>
      <c r="C20" s="47">
        <f>1/(1+Assumptions!$C$9)^1</f>
        <v>0.8403361344537815</v>
      </c>
      <c r="D20" s="47">
        <f>1/(1+Assumptions!$C$9)^2</f>
        <v>0.706164818868724</v>
      </c>
      <c r="E20" s="47">
        <f>1/(1+Assumptions!$C$9)^3</f>
        <v>0.5934158141753983</v>
      </c>
      <c r="F20" s="47">
        <f>1/(1+Assumptions!$C$9)^4</f>
        <v>0.4986687514078978</v>
      </c>
      <c r="G20" s="47">
        <f>1/(1+Assumptions!$C$9)^5</f>
        <v>0.41904937093100664</v>
      </c>
      <c r="H20" s="47">
        <f>1/(1+Assumptions!$C$9)^6</f>
        <v>0.3521423285134509</v>
      </c>
    </row>
    <row r="21">
      <c r="B21" s="33" t="inlineStr">
        <is>
          <t>Present value of cash flow</t>
        </is>
      </c>
      <c r="C21" s="34">
        <f>C19*C20</f>
        <v>1224701.631206289</v>
      </c>
      <c r="D21" s="34">
        <f>D19*D20</f>
        <v>1271122.4577256027</v>
      </c>
      <c r="E21" s="34">
        <f>E19*E20</f>
        <v>1268491.1910607347</v>
      </c>
      <c r="F21" s="34">
        <f>F19*F20</f>
        <v>1260947.7014106612</v>
      </c>
      <c r="G21" s="34">
        <f>G19*G20</f>
        <v>1221813.6197403315</v>
      </c>
      <c r="H21" s="34">
        <f>H19*H20</f>
        <v>1229533.502790085</v>
      </c>
      <c r="I21" s="25">
        <f>SUM(C21:H21)</f>
        <v>7476610.103933704</v>
      </c>
    </row>
    <row r="22">
      <c r="B22" s="5" t="inlineStr">
        <is>
          <t>Terminal value at end of FY32</t>
        </is>
      </c>
      <c r="C22" s="8">
        <f>H19*(1+Assumptions!$C$10)/(Assumptions!$C$9-Assumptions!$C$10)</f>
        <v>26186858.33609861</v>
      </c>
      <c r="I22" s="7" t="inlineStr">
        <is>
          <t>Gordon growth</t>
        </is>
      </c>
    </row>
    <row r="23">
      <c r="B23" s="33" t="inlineStr">
        <is>
          <t>Present value of terminal value</t>
        </is>
      </c>
      <c r="C23" s="34">
        <f>C22*H20</f>
        <v>9221501.270925637</v>
      </c>
      <c r="I23" s="25">
        <f>C23</f>
        <v>9221501.270925637</v>
      </c>
    </row>
    <row r="24">
      <c r="B24" s="12" t="inlineStr">
        <is>
          <t>ENTERPRISE VALUE</t>
        </is>
      </c>
      <c r="I24" s="28">
        <f>$I$21+$I$23</f>
        <v>16698111.37485934</v>
      </c>
    </row>
    <row r="25">
      <c r="B25" s="5" t="inlineStr">
        <is>
          <t>Less net debt</t>
        </is>
      </c>
      <c r="I25" s="6">
        <f>-'Audited Base'!$C$37</f>
        <v>-13881206</v>
      </c>
    </row>
    <row r="26">
      <c r="B26" s="12" t="inlineStr">
        <is>
          <t>EQUITY VALUE</t>
        </is>
      </c>
      <c r="I26" s="28">
        <f>$I$24-'Audited Base'!$C$37</f>
        <v>2816905.3748593405</v>
      </c>
    </row>
    <row r="27">
      <c r="B27" s="5" t="inlineStr">
        <is>
          <t>Terminal value as % of enterprise value</t>
        </is>
      </c>
      <c r="I27" s="43">
        <f>$I$23/$I$24</f>
        <v>0.5522481593223483</v>
      </c>
    </row>
    <row r="29">
      <c r="B29" s="3" t="inlineStr">
        <is>
          <t>CASE B — MANAGEMENT CONSERVATIVE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37" t="inlineStr">
        <is>
          <t>₹</t>
        </is>
      </c>
      <c r="C30" s="4" t="inlineStr">
        <is>
          <t>2026-27</t>
        </is>
      </c>
      <c r="D30" s="4" t="inlineStr">
        <is>
          <t>2027-28</t>
        </is>
      </c>
      <c r="E30" s="4" t="inlineStr">
        <is>
          <t>2028-29</t>
        </is>
      </c>
      <c r="F30" s="4" t="inlineStr">
        <is>
          <t>2029-30</t>
        </is>
      </c>
      <c r="G30" s="4" t="inlineStr">
        <is>
          <t>2030-31</t>
        </is>
      </c>
      <c r="H30" s="4" t="inlineStr">
        <is>
          <t>2031-32</t>
        </is>
      </c>
      <c r="I30" s="4" t="inlineStr">
        <is>
          <t>Total</t>
        </is>
      </c>
    </row>
    <row r="31">
      <c r="B31" s="5" t="inlineStr">
        <is>
          <t>Free cash flow</t>
        </is>
      </c>
      <c r="C31" s="6">
        <f>Projections!C41</f>
        <v>1571257.8327741937</v>
      </c>
      <c r="D31" s="6">
        <f>Projections!D41</f>
        <v>2214800.595796774</v>
      </c>
      <c r="E31" s="6">
        <f>Projections!E41</f>
        <v>2915494.6840056404</v>
      </c>
      <c r="F31" s="6">
        <f>Projections!F41</f>
        <v>3612484.646204727</v>
      </c>
      <c r="G31" s="6">
        <f>Projections!G41</f>
        <v>4605500.820200572</v>
      </c>
      <c r="H31" s="6">
        <f>Projections!H41</f>
        <v>5737740.6809697235</v>
      </c>
    </row>
    <row r="32">
      <c r="B32" s="5" t="inlineStr">
        <is>
          <t>Discount factor</t>
        </is>
      </c>
      <c r="C32" s="47">
        <f>1/(1+Assumptions!$C$9)^1</f>
        <v>0.8403361344537815</v>
      </c>
      <c r="D32" s="47">
        <f>1/(1+Assumptions!$C$9)^2</f>
        <v>0.706164818868724</v>
      </c>
      <c r="E32" s="47">
        <f>1/(1+Assumptions!$C$9)^3</f>
        <v>0.5934158141753983</v>
      </c>
      <c r="F32" s="47">
        <f>1/(1+Assumptions!$C$9)^4</f>
        <v>0.4986687514078978</v>
      </c>
      <c r="G32" s="47">
        <f>1/(1+Assumptions!$C$9)^5</f>
        <v>0.41904937093100664</v>
      </c>
      <c r="H32" s="47">
        <f>1/(1+Assumptions!$C$9)^6</f>
        <v>0.3521423285134509</v>
      </c>
    </row>
    <row r="33">
      <c r="B33" s="33" t="inlineStr">
        <is>
          <t>Present value of cash flow</t>
        </is>
      </c>
      <c r="C33" s="34">
        <f>C31*C32</f>
        <v>1320384.7334236922</v>
      </c>
      <c r="D33" s="34">
        <f>D31*D32</f>
        <v>1564014.261561171</v>
      </c>
      <c r="E33" s="34">
        <f>E31*E32</f>
        <v>1730100.6516332529</v>
      </c>
      <c r="F33" s="34">
        <f>F31*F32</f>
        <v>1801433.2080031126</v>
      </c>
      <c r="G33" s="34">
        <f>G31*G32</f>
        <v>1929932.2215272847</v>
      </c>
      <c r="H33" s="34">
        <f>H31*H32</f>
        <v>2020501.3638030319</v>
      </c>
      <c r="I33" s="25">
        <f>SUM(C33:H33)</f>
        <v>10366366.439951546</v>
      </c>
    </row>
    <row r="34">
      <c r="B34" s="5" t="inlineStr">
        <is>
          <t>Terminal value at end of FY32</t>
        </is>
      </c>
      <c r="C34" s="8">
        <f>H31*(1+Assumptions!$C$10)/(Assumptions!$C$9-Assumptions!$C$10)</f>
        <v>43033055.10727292</v>
      </c>
      <c r="I34" s="7" t="inlineStr">
        <is>
          <t>Gordon growth</t>
        </is>
      </c>
    </row>
    <row r="35">
      <c r="B35" s="33" t="inlineStr">
        <is>
          <t>Present value of terminal value</t>
        </is>
      </c>
      <c r="C35" s="34">
        <f>C34*H32</f>
        <v>15153760.228522738</v>
      </c>
      <c r="I35" s="25">
        <f>C35</f>
        <v>15153760.228522738</v>
      </c>
    </row>
    <row r="36">
      <c r="B36" s="12" t="inlineStr">
        <is>
          <t>ENTERPRISE VALUE</t>
        </is>
      </c>
      <c r="I36" s="28">
        <f>$I$33+$I$35</f>
        <v>25520126.668474287</v>
      </c>
    </row>
    <row r="37">
      <c r="B37" s="5" t="inlineStr">
        <is>
          <t>Less net debt</t>
        </is>
      </c>
      <c r="I37" s="6">
        <f>-'Audited Base'!$C$37</f>
        <v>-13881206</v>
      </c>
    </row>
    <row r="38">
      <c r="B38" s="12" t="inlineStr">
        <is>
          <t>EQUITY VALUE</t>
        </is>
      </c>
      <c r="I38" s="28">
        <f>$I$36-'Audited Base'!$C$37</f>
        <v>11638920.668474287</v>
      </c>
    </row>
    <row r="39">
      <c r="B39" s="5" t="inlineStr">
        <is>
          <t>Terminal value as % of enterprise value</t>
        </is>
      </c>
      <c r="I39" s="43">
        <f>$I$35/$I$36</f>
        <v>0.5937964346878651</v>
      </c>
    </row>
    <row r="41">
      <c r="B41" s="3" t="inlineStr">
        <is>
          <t>CASE C — MANAGEMENT MODERATE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7" t="inlineStr">
        <is>
          <t>₹</t>
        </is>
      </c>
      <c r="C42" s="4" t="inlineStr">
        <is>
          <t>2026-27</t>
        </is>
      </c>
      <c r="D42" s="4" t="inlineStr">
        <is>
          <t>2027-28</t>
        </is>
      </c>
      <c r="E42" s="4" t="inlineStr">
        <is>
          <t>2028-29</t>
        </is>
      </c>
      <c r="F42" s="4" t="inlineStr">
        <is>
          <t>2029-30</t>
        </is>
      </c>
      <c r="G42" s="4" t="inlineStr">
        <is>
          <t>2030-31</t>
        </is>
      </c>
      <c r="H42" s="4" t="inlineStr">
        <is>
          <t>2031-32</t>
        </is>
      </c>
      <c r="I42" s="4" t="inlineStr">
        <is>
          <t>Total</t>
        </is>
      </c>
    </row>
    <row r="43">
      <c r="B43" s="5" t="inlineStr">
        <is>
          <t>Free cash flow</t>
        </is>
      </c>
      <c r="C43" s="6">
        <f>Projections!C60</f>
        <v>1571257.8327741937</v>
      </c>
      <c r="D43" s="6">
        <f>Projections!D60</f>
        <v>2511060.655376452</v>
      </c>
      <c r="E43" s="6">
        <f>Projections!E60</f>
        <v>3693380.0209745653</v>
      </c>
      <c r="F43" s="6">
        <f>Projections!F60</f>
        <v>4997412.752457546</v>
      </c>
      <c r="G43" s="6">
        <f>Projections!G60</f>
        <v>6355673.002111619</v>
      </c>
      <c r="H43" s="6">
        <f>Projections!H60</f>
        <v>7796720.286335472</v>
      </c>
    </row>
    <row r="44">
      <c r="B44" s="5" t="inlineStr">
        <is>
          <t>Discount factor</t>
        </is>
      </c>
      <c r="C44" s="47">
        <f>1/(1+Assumptions!$C$9)^1</f>
        <v>0.8403361344537815</v>
      </c>
      <c r="D44" s="47">
        <f>1/(1+Assumptions!$C$9)^2</f>
        <v>0.706164818868724</v>
      </c>
      <c r="E44" s="47">
        <f>1/(1+Assumptions!$C$9)^3</f>
        <v>0.5934158141753983</v>
      </c>
      <c r="F44" s="47">
        <f>1/(1+Assumptions!$C$9)^4</f>
        <v>0.4986687514078978</v>
      </c>
      <c r="G44" s="47">
        <f>1/(1+Assumptions!$C$9)^5</f>
        <v>0.41904937093100664</v>
      </c>
      <c r="H44" s="47">
        <f>1/(1+Assumptions!$C$9)^6</f>
        <v>0.3521423285134509</v>
      </c>
    </row>
    <row r="45">
      <c r="B45" s="33" t="inlineStr">
        <is>
          <t>Present value of cash flow</t>
        </is>
      </c>
      <c r="C45" s="34">
        <f>C43*C44</f>
        <v>1320384.7334236922</v>
      </c>
      <c r="D45" s="34">
        <f>D43*D44</f>
        <v>1773222.6928722914</v>
      </c>
      <c r="E45" s="34">
        <f>E43*E44</f>
        <v>2191710.1122057713</v>
      </c>
      <c r="F45" s="34">
        <f>F43*F44</f>
        <v>2492053.57753791</v>
      </c>
      <c r="G45" s="34">
        <f>G43*G44</f>
        <v>2663340.7733780565</v>
      </c>
      <c r="H45" s="34">
        <f>H43*H44</f>
        <v>2745555.2363982326</v>
      </c>
      <c r="I45" s="25">
        <f>SUM(C45:H45)</f>
        <v>13186267.125815954</v>
      </c>
    </row>
    <row r="46">
      <c r="B46" s="5" t="inlineStr">
        <is>
          <t>Terminal value at end of FY32</t>
        </is>
      </c>
      <c r="C46" s="8">
        <f>H43*(1+Assumptions!$C$10)/(Assumptions!$C$9-Assumptions!$C$10)</f>
        <v>58475402.147516035</v>
      </c>
      <c r="I46" s="7" t="inlineStr">
        <is>
          <t>Gordon growth</t>
        </is>
      </c>
    </row>
    <row r="47">
      <c r="B47" s="33" t="inlineStr">
        <is>
          <t>Present value of terminal value</t>
        </is>
      </c>
      <c r="C47" s="34">
        <f>C46*H44</f>
        <v>20591664.272986744</v>
      </c>
      <c r="I47" s="25">
        <f>C47</f>
        <v>20591664.272986744</v>
      </c>
    </row>
    <row r="48">
      <c r="B48" s="12" t="inlineStr">
        <is>
          <t>ENTERPRISE VALUE</t>
        </is>
      </c>
      <c r="I48" s="28">
        <f>$I$45+$I$47</f>
        <v>33777931.3988027</v>
      </c>
    </row>
    <row r="49">
      <c r="B49" s="5" t="inlineStr">
        <is>
          <t>Less net debt</t>
        </is>
      </c>
      <c r="I49" s="6">
        <f>-'Audited Base'!$C$37</f>
        <v>-13881206</v>
      </c>
    </row>
    <row r="50">
      <c r="B50" s="12" t="inlineStr">
        <is>
          <t>EQUITY VALUE</t>
        </is>
      </c>
      <c r="I50" s="28">
        <f>$I$48-'Audited Base'!$C$37</f>
        <v>19896725.398802698</v>
      </c>
    </row>
    <row r="51">
      <c r="B51" s="5" t="inlineStr">
        <is>
          <t>Terminal value as % of enterprise value</t>
        </is>
      </c>
      <c r="I51" s="43">
        <f>$I$47/$I$48</f>
        <v>0.6096188671197503</v>
      </c>
    </row>
    <row r="53">
      <c r="B53" s="3" t="inlineStr">
        <is>
          <t>EQUITY VALUE SENSITIVITY TO THE DISCOUNT RATE  (₹ lakh)</t>
        </is>
      </c>
      <c r="C53" s="3" t="n"/>
      <c r="D53" s="3" t="n"/>
      <c r="E53" s="3" t="n"/>
      <c r="F53" s="3" t="n"/>
      <c r="G53" s="3" t="n"/>
    </row>
    <row r="54">
      <c r="B54" s="37" t="inlineStr">
        <is>
          <t>WACC</t>
        </is>
      </c>
      <c r="C54" s="4" t="inlineStr">
        <is>
          <t>Case A</t>
        </is>
      </c>
      <c r="D54" s="4" t="inlineStr">
        <is>
          <t>Case B</t>
        </is>
      </c>
      <c r="E54" s="4" t="inlineStr">
        <is>
          <t>Case C</t>
        </is>
      </c>
      <c r="F54" s="37" t="inlineStr">
        <is>
          <t>Note</t>
        </is>
      </c>
    </row>
    <row r="55">
      <c r="B55" s="41" t="n">
        <v>0.1</v>
      </c>
      <c r="C55" s="10" t="n">
        <v>374.3478715007848</v>
      </c>
      <c r="D55" s="10" t="n">
        <v>681.4881821843841</v>
      </c>
      <c r="E55" s="10" t="n">
        <v>965.800285823213</v>
      </c>
      <c r="F55" s="7" t="inlineStr">
        <is>
          <t>← would be needed for ₹10 Cr; see Reverse Test</t>
        </is>
      </c>
    </row>
    <row r="56">
      <c r="B56" s="41" t="n">
        <v>0.14</v>
      </c>
      <c r="C56" s="10" t="n">
        <v>133.8565576063081</v>
      </c>
      <c r="D56" s="10" t="n">
        <v>288.1115833915733</v>
      </c>
      <c r="E56" s="10" t="n">
        <v>431.7502768148422</v>
      </c>
      <c r="F56" s="7" t="inlineStr"/>
    </row>
    <row r="57">
      <c r="B57" s="41" t="n">
        <v>0.16</v>
      </c>
      <c r="C57" s="10" t="n">
        <v>79.79707725209288</v>
      </c>
      <c r="D57" s="10" t="n">
        <v>200.096640803215</v>
      </c>
      <c r="E57" s="10" t="n">
        <v>312.3823670974401</v>
      </c>
      <c r="F57" s="7" t="inlineStr"/>
    </row>
    <row r="58">
      <c r="B58" s="41" t="n">
        <v>0.19</v>
      </c>
      <c r="C58" s="13" t="n">
        <v>28.16905374859341</v>
      </c>
      <c r="D58" s="13" t="n">
        <v>116.3892066847429</v>
      </c>
      <c r="E58" s="13" t="n">
        <v>198.967253988027</v>
      </c>
      <c r="F58" s="7" t="inlineStr">
        <is>
          <t>← rate used</t>
        </is>
      </c>
    </row>
    <row r="59">
      <c r="B59" s="41" t="n">
        <v>0.22</v>
      </c>
      <c r="C59" s="10" t="n">
        <v>-4.805191819553096</v>
      </c>
      <c r="D59" s="10" t="n">
        <v>63.23037248332314</v>
      </c>
      <c r="E59" s="10" t="n">
        <v>127.0448723839584</v>
      </c>
      <c r="F59" s="7" t="inlineStr"/>
    </row>
    <row r="60">
      <c r="B60" s="41" t="n">
        <v>0.25</v>
      </c>
      <c r="C60" s="10" t="n">
        <v>-27.57068399112443</v>
      </c>
      <c r="D60" s="10" t="n">
        <v>26.75524477289753</v>
      </c>
      <c r="E60" s="10" t="n">
        <v>77.7760336626985</v>
      </c>
      <c r="F60" s="7" t="inlineStr"/>
    </row>
    <row r="62" ht="24" customHeight="1">
      <c r="B62" s="21" t="inlineStr">
        <is>
          <t>The terminal value carries more than half of the enterprise value in every case, which is normal for a growing business but means the conclusion is sensitive to the discount rate and the terminal growth rate. That sensitivity is the point of the table above.</t>
        </is>
      </c>
    </row>
  </sheetData>
  <mergeCells count="1">
    <mergeCell ref="B62:I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MARKET MULTIPLES AND NET ASSET VALUE</t>
        </is>
      </c>
    </row>
    <row r="3">
      <c r="B3" s="2" t="inlineStr">
        <is>
          <t>Cross-checks on the DCF, applied to audited FY26 figures.</t>
        </is>
      </c>
    </row>
    <row r="5">
      <c r="B5" s="3" t="inlineStr">
        <is>
          <t>REVENUE MULTIPLE</t>
        </is>
      </c>
      <c r="C5" s="3" t="n"/>
      <c r="D5" s="3" t="n"/>
      <c r="E5" s="3" t="n"/>
      <c r="F5" s="3" t="n"/>
    </row>
    <row r="6">
      <c r="B6" s="4" t="inlineStr">
        <is>
          <t>Multiple</t>
        </is>
      </c>
      <c r="C6" s="4" t="inlineStr">
        <is>
          <t>Enterprise value</t>
        </is>
      </c>
      <c r="D6" s="4" t="inlineStr">
        <is>
          <t>Less net debt</t>
        </is>
      </c>
      <c r="E6" s="4" t="inlineStr">
        <is>
          <t>Equity value</t>
        </is>
      </c>
      <c r="F6" s="4" t="inlineStr">
        <is>
          <t>Comment</t>
        </is>
      </c>
    </row>
    <row r="7">
      <c r="B7" s="48" t="n">
        <v>2</v>
      </c>
      <c r="C7" s="8">
        <f>B7*'Audited Base'!$C$7</f>
        <v>12181800</v>
      </c>
      <c r="D7" s="6">
        <f>-'Audited Base'!$C$37</f>
        <v>-13881206</v>
      </c>
      <c r="E7" s="49">
        <f>C7+D7</f>
        <v>-1699406</v>
      </c>
      <c r="F7" s="7" t="inlineStr">
        <is>
          <t>Distressed / asset-backed</t>
        </is>
      </c>
    </row>
    <row r="8">
      <c r="B8" s="48" t="n">
        <v>3</v>
      </c>
      <c r="C8" s="8">
        <f>B8*'Audited Base'!$C$7</f>
        <v>18272700</v>
      </c>
      <c r="D8" s="6">
        <f>-'Audited Base'!$C$37</f>
        <v>-13881206</v>
      </c>
      <c r="E8" s="49">
        <f>C8+D8</f>
        <v>4391494</v>
      </c>
      <c r="F8" s="7" t="inlineStr">
        <is>
          <t>Small single-site school</t>
        </is>
      </c>
    </row>
    <row r="9">
      <c r="B9" s="48" t="n">
        <v>4</v>
      </c>
      <c r="C9" s="8">
        <f>B9*'Audited Base'!$C$7</f>
        <v>24363600</v>
      </c>
      <c r="D9" s="6">
        <f>-'Audited Base'!$C$37</f>
        <v>-13881206</v>
      </c>
      <c r="E9" s="49">
        <f>C9+D9</f>
        <v>10482394</v>
      </c>
      <c r="F9" s="7" t="inlineStr">
        <is>
          <t>Strong growth, established</t>
        </is>
      </c>
    </row>
    <row r="10">
      <c r="B10" s="48" t="n">
        <v>5</v>
      </c>
      <c r="C10" s="8">
        <f>B10*'Audited Base'!$C$7</f>
        <v>30454500</v>
      </c>
      <c r="D10" s="6">
        <f>-'Audited Base'!$C$37</f>
        <v>-13881206</v>
      </c>
      <c r="E10" s="49">
        <f>C10+D10</f>
        <v>16573294</v>
      </c>
      <c r="F10" s="7" t="inlineStr">
        <is>
          <t>Top of any defensible range</t>
        </is>
      </c>
    </row>
    <row r="11">
      <c r="B11" s="48" t="n">
        <v>16.4</v>
      </c>
      <c r="C11" s="8">
        <f>B11*'Audited Base'!$C$7</f>
        <v>99890759.99999999</v>
      </c>
      <c r="D11" s="6">
        <f>-'Audited Base'!$C$37</f>
        <v>-13881206</v>
      </c>
      <c r="E11" s="50">
        <f>C11+D11</f>
        <v>86009553.99999999</v>
      </c>
      <c r="F11" s="7" t="inlineStr">
        <is>
          <t>Implied by the ₹10 crore expectation</t>
        </is>
      </c>
    </row>
    <row r="13">
      <c r="B13" s="3" t="inlineStr">
        <is>
          <t>EBITDA MULTIPLE</t>
        </is>
      </c>
      <c r="C13" s="3" t="n"/>
      <c r="D13" s="3" t="n"/>
      <c r="E13" s="3" t="n"/>
      <c r="F13" s="3" t="n"/>
    </row>
    <row r="14">
      <c r="B14" s="4" t="inlineStr">
        <is>
          <t>Multiple</t>
        </is>
      </c>
      <c r="C14" s="4" t="inlineStr">
        <is>
          <t>Enterprise value</t>
        </is>
      </c>
      <c r="D14" s="4" t="inlineStr">
        <is>
          <t>Less net debt</t>
        </is>
      </c>
      <c r="E14" s="4" t="inlineStr">
        <is>
          <t>Equity value</t>
        </is>
      </c>
      <c r="F14" s="4" t="inlineStr">
        <is>
          <t>Comment</t>
        </is>
      </c>
    </row>
    <row r="15">
      <c r="B15" s="48" t="n">
        <v>8</v>
      </c>
      <c r="C15" s="8">
        <f>B15*'Audited Base'!$C$25</f>
        <v>18193760</v>
      </c>
      <c r="D15" s="6">
        <f>-'Audited Base'!$C$37</f>
        <v>-13881206</v>
      </c>
      <c r="E15" s="49">
        <f>C15+D15</f>
        <v>4312554</v>
      </c>
      <c r="F15" s="7" t="inlineStr">
        <is>
          <t>Small, illiquid, single asset</t>
        </is>
      </c>
    </row>
    <row r="16">
      <c r="B16" s="48" t="n">
        <v>10</v>
      </c>
      <c r="C16" s="8">
        <f>B16*'Audited Base'!$C$25</f>
        <v>22742200</v>
      </c>
      <c r="D16" s="6">
        <f>-'Audited Base'!$C$37</f>
        <v>-13881206</v>
      </c>
      <c r="E16" s="49">
        <f>C16+D16</f>
        <v>8860994</v>
      </c>
      <c r="F16" s="7" t="inlineStr">
        <is>
          <t>Mid-point</t>
        </is>
      </c>
    </row>
    <row r="17">
      <c r="B17" s="48" t="n">
        <v>12</v>
      </c>
      <c r="C17" s="8">
        <f>B17*'Audited Base'!$C$25</f>
        <v>27290640</v>
      </c>
      <c r="D17" s="6">
        <f>-'Audited Base'!$C$37</f>
        <v>-13881206</v>
      </c>
      <c r="E17" s="49">
        <f>C17+D17</f>
        <v>13409434</v>
      </c>
      <c r="F17" s="7" t="inlineStr">
        <is>
          <t>Growth premium</t>
        </is>
      </c>
    </row>
    <row r="18">
      <c r="B18" s="48" t="n">
        <v>15</v>
      </c>
      <c r="C18" s="8">
        <f>B18*'Audited Base'!$C$25</f>
        <v>34113300</v>
      </c>
      <c r="D18" s="6">
        <f>-'Audited Base'!$C$37</f>
        <v>-13881206</v>
      </c>
      <c r="E18" s="49">
        <f>C18+D18</f>
        <v>20232094</v>
      </c>
      <c r="F18" s="7" t="inlineStr">
        <is>
          <t>Top of any defensible range</t>
        </is>
      </c>
    </row>
    <row r="19">
      <c r="B19" s="48" t="n">
        <v>50.1</v>
      </c>
      <c r="C19" s="8">
        <f>B19*'Audited Base'!$C$25</f>
        <v>113938422</v>
      </c>
      <c r="D19" s="6">
        <f>-'Audited Base'!$C$37</f>
        <v>-13881206</v>
      </c>
      <c r="E19" s="50">
        <f>C19+D19</f>
        <v>100057216</v>
      </c>
      <c r="F19" s="7" t="inlineStr">
        <is>
          <t>Implied by the ₹10 crore expectation</t>
        </is>
      </c>
    </row>
    <row r="21">
      <c r="B21" s="3" t="inlineStr">
        <is>
          <t>NET ASSET VALUE — THE FLOOR</t>
        </is>
      </c>
      <c r="C21" s="3" t="n"/>
      <c r="D21" s="3" t="n"/>
      <c r="E21" s="3" t="n"/>
      <c r="F21" s="3" t="n"/>
    </row>
    <row r="22">
      <c r="B22" s="5" t="inlineStr">
        <is>
          <t>Book equity per audited balance sheet</t>
        </is>
      </c>
      <c r="C22" s="6">
        <f>'Audited Base'!$C$32</f>
        <v>1318945</v>
      </c>
      <c r="F22" s="7" t="inlineStr">
        <is>
          <t>Land is leased, so there is no land value to add</t>
        </is>
      </c>
    </row>
    <row r="23">
      <c r="B23" s="5" t="inlineStr">
        <is>
          <t>Per share (6,000 shares)</t>
        </is>
      </c>
      <c r="C23" s="8">
        <f>'Audited Base'!$C$32/6000</f>
        <v>219.82416666666666</v>
      </c>
      <c r="F23" s="7" t="inlineStr">
        <is>
          <t>Management report states ₹31 per share</t>
        </is>
      </c>
    </row>
    <row r="25" ht="24" customHeight="1">
      <c r="B25" s="21" t="inlineStr">
        <is>
          <t>The building was constructed with borrowed money, so its value is already offset by the debt that funded it. That is why equity value is thin despite ₹1.50 crore of property on the balance sheet: the lenders rank ahead of the shareholders.</t>
        </is>
      </c>
    </row>
  </sheetData>
  <mergeCells count="1">
    <mergeCell ref="B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0" customWidth="1" min="3" max="3"/>
    <col width="20" customWidth="1" min="4" max="4"/>
    <col width="16" customWidth="1" min="5" max="5"/>
    <col width="38" customWidth="1" min="6" max="6"/>
  </cols>
  <sheetData>
    <row r="2">
      <c r="B2" s="1" t="inlineStr">
        <is>
          <t>REVERSE TEST — WHAT WOULD HAVE TO BE TRUE FOR ₹10 CRORE</t>
        </is>
      </c>
    </row>
    <row r="3">
      <c r="B3" s="2" t="inlineStr">
        <is>
          <t>Working backwards from the valuation the client expects, to the assumptions it requires.</t>
        </is>
      </c>
    </row>
    <row r="5">
      <c r="B5" s="3" t="inlineStr">
        <is>
          <t>THE TARGET</t>
        </is>
      </c>
      <c r="C5" s="3" t="n"/>
      <c r="D5" s="3" t="n"/>
      <c r="E5" s="3" t="n"/>
      <c r="F5" s="3" t="n"/>
    </row>
    <row r="6">
      <c r="B6" s="33" t="inlineStr">
        <is>
          <t>Expected valuation (₹10 lakh per 1%)</t>
        </is>
      </c>
      <c r="C6" s="35" t="n">
        <v>100000000</v>
      </c>
    </row>
    <row r="7">
      <c r="B7" s="5" t="inlineStr">
        <is>
          <t>Add net debt to reach the required enterprise value</t>
        </is>
      </c>
      <c r="C7" s="6">
        <f>'Audited Base'!$C$37</f>
        <v>13881206</v>
      </c>
    </row>
    <row r="8">
      <c r="B8" s="12" t="inlineStr">
        <is>
          <t>Required enterprise value</t>
        </is>
      </c>
      <c r="C8" s="28">
        <f>$C$6+C7</f>
        <v>113881206</v>
      </c>
    </row>
    <row r="10">
      <c r="B10" s="3" t="inlineStr">
        <is>
          <t>ROUTE 1 — HOLD THE MODERATE CASE, SOLVE FOR THE DISCOUNT RATE</t>
        </is>
      </c>
      <c r="C10" s="3" t="n"/>
      <c r="D10" s="3" t="n"/>
      <c r="E10" s="3" t="n"/>
      <c r="F10" s="3" t="n"/>
    </row>
    <row r="11">
      <c r="B11" s="4" t="inlineStr">
        <is>
          <t>WACC applied to Case C</t>
        </is>
      </c>
      <c r="C11" s="4" t="inlineStr">
        <is>
          <t>Equity value</t>
        </is>
      </c>
      <c r="D11" s="4" t="inlineStr">
        <is>
          <t>vs ₹10 crore target</t>
        </is>
      </c>
      <c r="E11" s="4" t="inlineStr"/>
    </row>
    <row r="12">
      <c r="B12" s="41" t="n">
        <v>0.1</v>
      </c>
      <c r="C12" s="8" t="n">
        <v>96580028.5823213</v>
      </c>
      <c r="D12" s="20">
        <f>C12/$C$6</f>
        <v>0.965800285823213</v>
      </c>
      <c r="E12" s="7" t="inlineStr">
        <is>
          <t>← reaches the target</t>
        </is>
      </c>
    </row>
    <row r="13">
      <c r="B13" s="41" t="n">
        <v>0.11</v>
      </c>
      <c r="C13" s="8" t="n">
        <v>76452909.02366123</v>
      </c>
      <c r="D13" s="18">
        <f>C13/$C$6</f>
        <v>0.7645290902366123</v>
      </c>
      <c r="E13" s="7" t="inlineStr"/>
    </row>
    <row r="14">
      <c r="B14" s="41" t="n">
        <v>0.12</v>
      </c>
      <c r="C14" s="8" t="n">
        <v>62135683.84624141</v>
      </c>
      <c r="D14" s="18">
        <f>C14/$C$6</f>
        <v>0.6213568384624142</v>
      </c>
      <c r="E14" s="7" t="inlineStr"/>
    </row>
    <row r="15">
      <c r="B15" s="41" t="n">
        <v>0.14</v>
      </c>
      <c r="C15" s="8" t="n">
        <v>43175027.68148422</v>
      </c>
      <c r="D15" s="18">
        <f>C15/$C$6</f>
        <v>0.43175027681484224</v>
      </c>
      <c r="E15" s="7" t="inlineStr"/>
    </row>
    <row r="16">
      <c r="B16" s="41" t="n">
        <v>0.19</v>
      </c>
      <c r="C16" s="8" t="n">
        <v>19896725.3988027</v>
      </c>
      <c r="D16" s="18">
        <f>C16/$C$6</f>
        <v>0.19896725398802698</v>
      </c>
      <c r="E16" s="7" t="inlineStr"/>
    </row>
    <row r="18" ht="24" customHeight="1">
      <c r="B18" s="21" t="inlineStr">
        <is>
          <t>A 10% discount rate is what you would apply to a listed infrastructure utility with contracted cash flows. The school pays 10% on its own secured bank borrowings. Using 10% as the cost of EQUITY asserts that a minority stake in a single unlisted school, on leased land, without Maharashtra Board permission, carries no more risk than the bank loan secured against it. No investor will accept that.</t>
        </is>
      </c>
    </row>
    <row r="20">
      <c r="B20" s="3" t="inlineStr">
        <is>
          <t>ROUTE 2 — HOLD THE DISCOUNT RATE, SOLVE FOR SCALE</t>
        </is>
      </c>
      <c r="C20" s="3" t="n"/>
      <c r="D20" s="3" t="n"/>
      <c r="E20" s="3" t="n"/>
      <c r="F20" s="3" t="n"/>
    </row>
    <row r="21">
      <c r="B21" s="5" t="inlineStr">
        <is>
          <t>Enterprise value produced by the Moderate case</t>
        </is>
      </c>
      <c r="C21" s="8" t="n">
        <v>33777931.3988027</v>
      </c>
      <c r="F21" s="7" t="inlineStr"/>
    </row>
    <row r="22">
      <c r="B22" s="5" t="inlineStr">
        <is>
          <t>Required enterprise value</t>
        </is>
      </c>
      <c r="C22" s="8" t="n">
        <v>113881206</v>
      </c>
      <c r="F22" s="7" t="inlineStr"/>
    </row>
    <row r="23">
      <c r="B23" s="5" t="inlineStr">
        <is>
          <t>Scale-up factor required</t>
        </is>
      </c>
      <c r="C23" s="51" t="n">
        <v>3.371467738963928</v>
      </c>
      <c r="F23" s="7" t="inlineStr">
        <is>
          <t>Applied to the whole Moderate case</t>
        </is>
      </c>
    </row>
    <row r="24">
      <c r="B24" s="5" t="inlineStr">
        <is>
          <t>Implied FY32 revenue</t>
        </is>
      </c>
      <c r="C24" s="8" t="n">
        <v>140171771.6917594</v>
      </c>
      <c r="F24" s="7" t="inlineStr">
        <is>
          <t>vs ₹4.16 crore in the Moderate case</t>
        </is>
      </c>
    </row>
    <row r="25">
      <c r="B25" s="12" t="inlineStr">
        <is>
          <t>Implied FY32 student count</t>
        </is>
      </c>
      <c r="C25" s="52" t="n">
        <v>2376.884755969569</v>
      </c>
      <c r="F25" s="7" t="inlineStr">
        <is>
          <t>vs 705 Moderate, 920 Bullish, 155 today</t>
        </is>
      </c>
    </row>
    <row r="27" ht="24" customHeight="1">
      <c r="B27" s="21" t="inlineStr">
        <is>
          <t>Reaching ₹10 crore at a defensible discount rate requires roughly 2,377 students by FY32 — about 2.6 times the most bullish case management has put forward, and 15 times the current roll of 155. The campus is 8,500 sq ft.</t>
        </is>
      </c>
    </row>
    <row r="29">
      <c r="B29" s="3" t="inlineStr">
        <is>
          <t>WHAT THE ₹10 CRORE EXPECTATION IMPLIES ON TODAY’S NUMBERS</t>
        </is>
      </c>
      <c r="C29" s="3" t="n"/>
      <c r="D29" s="3" t="n"/>
      <c r="E29" s="3" t="n"/>
      <c r="F29" s="3" t="n"/>
    </row>
    <row r="30">
      <c r="B30" s="4" t="inlineStr">
        <is>
          <t>Metric</t>
        </is>
      </c>
      <c r="C30" s="4" t="inlineStr">
        <is>
          <t>Audited FY26</t>
        </is>
      </c>
      <c r="D30" s="4" t="inlineStr">
        <is>
          <t>Implied multiple at ₹10 crore</t>
        </is>
      </c>
    </row>
    <row r="31">
      <c r="B31" s="5" t="inlineStr">
        <is>
          <t>Revenue</t>
        </is>
      </c>
      <c r="C31" s="6">
        <f>'Audited Base'!$C$7</f>
        <v>6090900</v>
      </c>
      <c r="D31" s="53">
        <f>$C$6/C31</f>
        <v>16.41793495214172</v>
      </c>
    </row>
    <row r="32">
      <c r="B32" s="5" t="inlineStr">
        <is>
          <t>Adjusted EBITDA</t>
        </is>
      </c>
      <c r="C32" s="6">
        <f>'Audited Base'!$C$25</f>
        <v>2274220</v>
      </c>
      <c r="D32" s="53">
        <f>$C$6/C32</f>
        <v>43.97111976853603</v>
      </c>
    </row>
    <row r="33">
      <c r="B33" s="5" t="inlineStr">
        <is>
          <t>Profit after tax</t>
        </is>
      </c>
      <c r="C33" s="8" t="n">
        <v>1258940</v>
      </c>
      <c r="D33" s="53">
        <f>$C$6/C33</f>
        <v>79.43190302953278</v>
      </c>
    </row>
    <row r="34">
      <c r="B34" s="5" t="inlineStr">
        <is>
          <t>Book equity</t>
        </is>
      </c>
      <c r="C34" s="6">
        <f>'Audited Base'!$C$32</f>
        <v>1318945</v>
      </c>
      <c r="D34" s="53">
        <f>$C$6/C34</f>
        <v>75.8181728578523</v>
      </c>
    </row>
  </sheetData>
  <mergeCells count="2">
    <mergeCell ref="B18:F18"/>
    <mergeCell ref="B27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6" customWidth="1" min="3" max="3"/>
    <col width="56" customWidth="1" min="4" max="4"/>
  </cols>
  <sheetData>
    <row r="2">
      <c r="B2" s="1" t="inlineStr">
        <is>
          <t>OPEN QUESTIONS</t>
        </is>
      </c>
    </row>
    <row r="3">
      <c r="B3" s="2" t="inlineStr">
        <is>
          <t>Each of these could move the conclusion. They are listed in order of impact.</t>
        </is>
      </c>
    </row>
    <row r="5">
      <c r="B5" s="4" t="inlineStr">
        <is>
          <t>#</t>
        </is>
      </c>
      <c r="C5" s="4" t="inlineStr">
        <is>
          <t>Question</t>
        </is>
      </c>
      <c r="D5" s="4" t="inlineStr">
        <is>
          <t>Why it matters to the valuation</t>
        </is>
      </c>
    </row>
    <row r="6" ht="58" customHeight="1">
      <c r="B6" s="54" t="n">
        <v>1</v>
      </c>
      <c r="C6" s="55" t="inlineStr">
        <is>
          <t>Is FY 2025-26 a full twelve months? The company was incorporated during that year and all prior-year figures are nil.</t>
        </is>
      </c>
      <c r="D6" s="39" t="inlineStr">
        <is>
          <t>If it is a part year, the real run-rate revenue is higher than ₹60.91 lakh and every multiple-based value rises with it. Revenue per student of ₹39,297 is close to the ₹37,500 management uses, which suggests a full academic year — but this needs confirming. HIGHEST-IMPACT UNKNOWN.</t>
        </is>
      </c>
    </row>
    <row r="7" ht="58" customHeight="1">
      <c r="B7" s="54" t="n">
        <v>2</v>
      </c>
      <c r="C7" s="55" t="inlineStr">
        <is>
          <t>Why does projected rent jump from ₹8.04 lakh audited to ₹20.40 lakh?</t>
        </is>
      </c>
      <c r="D7" s="39" t="inlineStr">
        <is>
          <t>A ₹12 lakh annual cost difference. If the higher figure is right, EBITDA in every projection year falls by that amount.</t>
        </is>
      </c>
    </row>
    <row r="8" ht="58" customHeight="1">
      <c r="B8" s="54" t="n">
        <v>3</v>
      </c>
      <c r="C8" s="55" t="inlineStr">
        <is>
          <t>Why is projected staff cost ₹28.08 lakh against ₹10.08 lakh audited, for a similar roll?</t>
        </is>
      </c>
      <c r="D8" s="39" t="inlineStr">
        <is>
          <t>Adding Grades 1-6 requires qualified teachers at higher pay, so a rise is expected — but 2.8x needs explaining. It is the single largest cost line.</t>
        </is>
      </c>
    </row>
    <row r="9" ht="58" customHeight="1">
      <c r="B9" s="54" t="n">
        <v>4</v>
      </c>
      <c r="C9" s="55" t="inlineStr">
        <is>
          <t>Who lent the ₹1.62 crore shown as unsecured borrowings?</t>
        </is>
      </c>
      <c r="D9" s="39" t="inlineStr">
        <is>
          <t>If the promoters on-lent personally borrowed money to fund the building, the loan-repayment use of proceeds is far more defensible than it first appears, and should be presented that way.</t>
        </is>
      </c>
    </row>
    <row r="10" ht="58" customHeight="1">
      <c r="B10" s="54" t="n">
        <v>5</v>
      </c>
      <c r="C10" s="55" t="inlineStr">
        <is>
          <t>Do the projections cover Nagre Nagar alone, or both campuses?</t>
        </is>
      </c>
      <c r="D10" s="39" t="inlineStr">
        <is>
          <t>The Notes state the investor acquires an interest in Nagre Nagar only, with Govind Nagar remaining standalone. If the projections consolidate both, revenue is overstated for what is being sold.</t>
        </is>
      </c>
    </row>
    <row r="11" ht="58" customHeight="1">
      <c r="B11" s="54" t="n">
        <v>6</v>
      </c>
      <c r="C11" s="55" t="inlineStr">
        <is>
          <t>What are the terms of the land lease — lessor, tenure, assignment, change of control, right to create a charge?</t>
        </is>
      </c>
      <c r="D11" s="39" t="inlineStr">
        <is>
          <t>Determines whether the ₹1.46 crore building can be charged as security, whether a change of control is permitted, and whether there is any residual asset value.</t>
        </is>
      </c>
    </row>
    <row r="12" ht="58" customHeight="1">
      <c r="B12" s="54" t="n">
        <v>7</v>
      </c>
      <c r="C12" s="55" t="inlineStr">
        <is>
          <t>What is the physical capacity of the 8,500 sq ft campus?</t>
        </is>
      </c>
      <c r="D12" s="39" t="inlineStr">
        <is>
          <t>Management projects 540 to 920 students. If capacity is materially below that, the projections are not achievable without further construction and further capital.</t>
        </is>
      </c>
    </row>
    <row r="13" ht="58" customHeight="1">
      <c r="B13" s="54" t="n">
        <v>8</v>
      </c>
      <c r="C13" s="55" t="inlineStr">
        <is>
          <t>Confirm the entity is a Section 8 company, and what instrument can lawfully be offered.</t>
        </is>
      </c>
      <c r="D13" s="39" t="inlineStr">
        <is>
          <t>Determines whether equity can pay a return at all. Until this is settled, we do not know what asset we are valuing. Check MCA master data against the CIN.</t>
        </is>
      </c>
    </row>
    <row r="14" ht="58" customHeight="1">
      <c r="B14" s="54" t="n">
        <v>9</v>
      </c>
      <c r="C14" s="55" t="inlineStr">
        <is>
          <t>Is there any 12AB registration or exemption claimed?</t>
        </is>
      </c>
      <c r="D14" s="39" t="inlineStr">
        <is>
          <t>The company paid tax at 29% in FY26 with no exemption claimed, which may be an oversight worth several lakh a year and would lift the value.</t>
        </is>
      </c>
    </row>
    <row r="16" ht="24" customHeight="1">
      <c r="B16" s="21" t="inlineStr">
        <is>
          <t>This workbook is a preliminary commercial valuation prepared for the adviser’s internal use and for discussion with management. It is not a valuation report under Section 247 of the Companies Act, 2013, and the preparer is not an IBBI-registered valuer. It is not legal, secretarial or tax advice.</t>
        </is>
      </c>
    </row>
  </sheetData>
  <mergeCells count="1"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2026-10-02T19:39:36Z</dcterms:created>
  <dcterms:modified xsi:type="dcterms:W3CDTF">2026-10-02T19:39:36Z</dcterms:modified>
</cp:coreProperties>
</file>